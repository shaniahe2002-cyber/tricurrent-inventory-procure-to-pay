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ni\Documents\Portfolio\"/>
    </mc:Choice>
  </mc:AlternateContent>
  <xr:revisionPtr revIDLastSave="0" documentId="13_ncr:1_{352EB11A-07D9-40F9-9B4A-DB6EF3DEBDB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ontrol Panel" sheetId="187" r:id="rId1"/>
    <sheet name="Master File" sheetId="151" r:id="rId2"/>
    <sheet name="Purchase Requisition" sheetId="2" r:id="rId3"/>
    <sheet name="Finance Approval Form" sheetId="5" r:id="rId4"/>
    <sheet name="PO - TexPack Supplies" sheetId="186" r:id="rId5"/>
    <sheet name="PO - Gulf Coast Distributors" sheetId="185" r:id="rId6"/>
    <sheet name="PO - Pacific Bean Co." sheetId="184" r:id="rId7"/>
    <sheet name="PO - Green Source Coffee" sheetId="183" r:id="rId8"/>
    <sheet name="Finance Approval Log" sheetId="73" r:id="rId9"/>
  </sheets>
  <functionGroups builtInGroupCount="19"/>
  <externalReferences>
    <externalReference r:id="rId10"/>
    <externalReference r:id="rId11"/>
  </externalReferences>
  <definedNames>
    <definedName name="_xleta.N" hidden="1" xlm="1">#NAME?</definedName>
    <definedName name="_xleta.SUM" hidden="1" xlm="1">#NAME?</definedName>
    <definedName name="_xlpm.c" hidden="1" xlm="1">#NAME?</definedName>
    <definedName name="_xlpm.cost" hidden="1" xlm="1">#NAME?</definedName>
    <definedName name="_xlpm.costs" hidden="1" xlm="1">#NAME?</definedName>
    <definedName name="_xlpm.costsText" hidden="1" xlm="1">#NAME?</definedName>
    <definedName name="_xlpm.l" hidden="1" xlm="1">#NAME?</definedName>
    <definedName name="_xlpm.lot" hidden="1" xlm="1">#NAME?</definedName>
    <definedName name="_xlpm.lots" hidden="1" xlm="1">#NAME?</definedName>
    <definedName name="_xlpm.lsLot" hidden="1" xlm="1">#NAME?</definedName>
    <definedName name="_xlpm.lsQty" hidden="1" xlm="1">#NAME?</definedName>
    <definedName name="_xlpm.lsSKU" hidden="1" xlm="1">#NAME?</definedName>
    <definedName name="_xlpm.lsUnit" hidden="1" xlm="1">#NAME?</definedName>
    <definedName name="_xlpm.mask" hidden="1" xlm="1">#NAME?</definedName>
    <definedName name="_xlpm.q" hidden="1" xlm="1">#NAME?</definedName>
    <definedName name="_xlpm.qty" hidden="1" xlm="1">#NAME?</definedName>
    <definedName name="_xlpm.qtyIn" hidden="1" xlm="1">#NAME?</definedName>
    <definedName name="_xlpm.qtyOut" hidden="1" xlm="1">#NAME?</definedName>
    <definedName name="_xlpm.qtys" hidden="1" xlm="1">#NAME?</definedName>
    <definedName name="_xlpm.res" hidden="1" xlm="1">#NAME?</definedName>
    <definedName name="_xlpm.s" hidden="1" xlm="1">#NAME?</definedName>
    <definedName name="_xlpm.sku" hidden="1" xlm="1">#NAME?</definedName>
    <definedName name="_xlpm.skus" hidden="1" xlm="1">#NAME?</definedName>
    <definedName name="_xlpm.totalAvail" hidden="1" xlm="1">#NAME?</definedName>
    <definedName name="_xlpm.totalIn" hidden="1" xlm="1">#NAME?</definedName>
    <definedName name="_xlpm.totalInOut" hidden="1" xlm="1">#NAME?</definedName>
    <definedName name="_xlpm.totalOut" hidden="1" xlm="1">#NAME?</definedName>
    <definedName name="_xlpm.totalVal" hidden="1" xlm="1">#NAME?</definedName>
    <definedName name="_xlpm.uCost" hidden="1" xlm="1">#NAME?</definedName>
    <definedName name="April" localSheetId="0">[1]!EmployeeName[[#Headers],[Employee Names]]</definedName>
    <definedName name="April">#REF!</definedName>
    <definedName name="CalendarYear" localSheetId="0">#REF!</definedName>
    <definedName name="CalendarYear">#REF!</definedName>
    <definedName name="ColumnTitle1" localSheetId="0">#REF!</definedName>
    <definedName name="ColumnTitle1">#REF!</definedName>
    <definedName name="ColumnTitle13" localSheetId="0">#REF!</definedName>
    <definedName name="ColumnTitle13">#REF!</definedName>
    <definedName name="ColumnTitleRegion1..B12.1" localSheetId="0">#REF!</definedName>
    <definedName name="ColumnTitleRegion1..B12.1">#REF!</definedName>
    <definedName name="ColumnTitleRegion2..E12.1" localSheetId="0">#REF!</definedName>
    <definedName name="ColumnTitleRegion2..E12.1">#REF!</definedName>
    <definedName name="Company_Name" localSheetId="0">#REF!</definedName>
    <definedName name="Company_Name">#REF!</definedName>
    <definedName name="Employee_Absence_Title" localSheetId="0">#REF!</definedName>
    <definedName name="Employee_Absence_Title">#REF!</definedName>
    <definedName name="Key_name" localSheetId="0">#REF!</definedName>
    <definedName name="Key_name">#REF!</definedName>
    <definedName name="KeyCustom1" localSheetId="0">#REF!</definedName>
    <definedName name="KeyCustom1">#REF!</definedName>
    <definedName name="KeyCustom1Label" localSheetId="0">#REF!</definedName>
    <definedName name="KeyCustom1Label">#REF!</definedName>
    <definedName name="KeyCustom2" localSheetId="0">#REF!</definedName>
    <definedName name="KeyCustom2">#REF!</definedName>
    <definedName name="KeyCustom2Label" localSheetId="0">#REF!</definedName>
    <definedName name="KeyCustom2Label">#REF!</definedName>
    <definedName name="KeyPersonal" localSheetId="0">#REF!</definedName>
    <definedName name="KeyPersonal">#REF!</definedName>
    <definedName name="KeyPersonalLabel" localSheetId="0">#REF!</definedName>
    <definedName name="KeyPersonalLabel">#REF!</definedName>
    <definedName name="KeySick" localSheetId="0">#REF!</definedName>
    <definedName name="KeySick">#REF!</definedName>
    <definedName name="KeySickLabel" localSheetId="0">#REF!</definedName>
    <definedName name="KeySickLabel">#REF!</definedName>
    <definedName name="KeyVacation" localSheetId="0">#REF!</definedName>
    <definedName name="KeyVacation">#REF!</definedName>
    <definedName name="KeyVacationLabel" localSheetId="0">#REF!</definedName>
    <definedName name="KeyVacationLabel">#REF!</definedName>
    <definedName name="RowTitleRegion1..E5" localSheetId="0">#REF!</definedName>
    <definedName name="RowTitleRegion1..E5">#REF!</definedName>
    <definedName name="Title1" localSheetId="0">#REF!</definedName>
    <definedName name="Title1">#REF!</definedName>
    <definedName name="Title10" localSheetId="0">#REF!</definedName>
    <definedName name="Title10">#REF!</definedName>
    <definedName name="Title11" localSheetId="0">#REF!</definedName>
    <definedName name="Title11">#REF!</definedName>
    <definedName name="Title12" localSheetId="0">#REF!</definedName>
    <definedName name="Title12">#REF!</definedName>
    <definedName name="Title2" localSheetId="0">#REF!</definedName>
    <definedName name="Title2">#REF!</definedName>
    <definedName name="Title3" localSheetId="0">#REF!</definedName>
    <definedName name="Title3">#REF!</definedName>
    <definedName name="Title4" localSheetId="0">#REF!</definedName>
    <definedName name="Title4">#REF!</definedName>
    <definedName name="Title5" localSheetId="0">#REF!</definedName>
    <definedName name="Title5">#REF!</definedName>
    <definedName name="Title6" localSheetId="0">#REF!</definedName>
    <definedName name="Title6">#REF!</definedName>
    <definedName name="Title7" localSheetId="0">#REF!</definedName>
    <definedName name="Title7">#REF!</definedName>
    <definedName name="Title8" localSheetId="0">#REF!</definedName>
    <definedName name="Title8">#REF!</definedName>
    <definedName name="Title9" localSheetId="0">#REF!</definedName>
    <definedName name="Title9">#REF!</definedName>
    <definedName name="TitleRegion1..D14" localSheetId="0">#REF!</definedName>
    <definedName name="TitleRegion1..D14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N94" i="151" l="1"/>
  <c r="N93" i="151"/>
  <c r="N92" i="151"/>
  <c r="N91" i="151"/>
  <c r="N90" i="151"/>
  <c r="N89" i="151"/>
  <c r="N88" i="151"/>
  <c r="N87" i="151"/>
  <c r="N86" i="151"/>
  <c r="N85" i="151"/>
  <c r="N84" i="151"/>
  <c r="N83" i="151"/>
  <c r="N82" i="151"/>
  <c r="N81" i="151"/>
  <c r="N80" i="151"/>
  <c r="N79" i="151"/>
  <c r="N78" i="151"/>
  <c r="N77" i="151"/>
  <c r="N76" i="151"/>
  <c r="N75" i="151"/>
  <c r="N74" i="151"/>
  <c r="N73" i="151"/>
  <c r="N72" i="151"/>
  <c r="N71" i="151"/>
  <c r="N70" i="151"/>
  <c r="N69" i="151"/>
  <c r="N68" i="151"/>
  <c r="N67" i="151"/>
  <c r="N66" i="151"/>
  <c r="N65" i="151"/>
  <c r="N64" i="151"/>
  <c r="N63" i="151"/>
  <c r="N62" i="151"/>
  <c r="N61" i="151"/>
  <c r="N60" i="151"/>
  <c r="N59" i="151"/>
  <c r="N58" i="151"/>
  <c r="N57" i="151"/>
  <c r="N56" i="151"/>
  <c r="N55" i="151"/>
  <c r="N54" i="151"/>
  <c r="N53" i="151"/>
  <c r="N52" i="151"/>
  <c r="N51" i="151"/>
  <c r="N50" i="151"/>
  <c r="N49" i="151"/>
  <c r="N48" i="151"/>
  <c r="N47" i="151"/>
  <c r="N46" i="151"/>
  <c r="N45" i="151"/>
  <c r="N44" i="151"/>
  <c r="N43" i="151"/>
  <c r="N42" i="151"/>
  <c r="N41" i="151"/>
  <c r="N40" i="151"/>
  <c r="N39" i="151"/>
  <c r="N38" i="151"/>
  <c r="N37" i="151"/>
  <c r="N36" i="151"/>
  <c r="N35" i="151"/>
  <c r="N34" i="151"/>
  <c r="N33" i="151"/>
  <c r="N32" i="151"/>
  <c r="N31" i="151"/>
  <c r="N30" i="151"/>
  <c r="N29" i="151"/>
  <c r="N28" i="151"/>
  <c r="N27" i="151"/>
  <c r="N26" i="151"/>
  <c r="N25" i="151"/>
  <c r="N24" i="151"/>
  <c r="N23" i="151"/>
  <c r="N22" i="151"/>
  <c r="N21" i="151"/>
  <c r="N20" i="151"/>
  <c r="N19" i="151"/>
  <c r="N18" i="151"/>
  <c r="N17" i="151"/>
  <c r="N16" i="151"/>
  <c r="N15" i="151"/>
  <c r="N14" i="151"/>
  <c r="N13" i="151"/>
  <c r="N12" i="151"/>
  <c r="N11" i="151"/>
  <c r="N10" i="151"/>
  <c r="N9" i="151"/>
  <c r="N8" i="151"/>
  <c r="N7" i="151"/>
  <c r="N6" i="151"/>
  <c r="N5" i="151"/>
</calcChain>
</file>

<file path=xl/sharedStrings.xml><?xml version="1.0" encoding="utf-8"?>
<sst xmlns="http://schemas.openxmlformats.org/spreadsheetml/2006/main" count="1315" uniqueCount="495">
  <si>
    <t>UOM Quantity</t>
  </si>
  <si>
    <t>UOM</t>
  </si>
  <si>
    <t>Vendor ID</t>
  </si>
  <si>
    <t>Vendor</t>
  </si>
  <si>
    <t>Reason/Trigger</t>
  </si>
  <si>
    <t>Status</t>
  </si>
  <si>
    <t>Optimal Quantity</t>
  </si>
  <si>
    <t>Current Stock</t>
  </si>
  <si>
    <t>Item Name</t>
  </si>
  <si>
    <t>SKU</t>
  </si>
  <si>
    <t>Requested by</t>
  </si>
  <si>
    <t>Date</t>
  </si>
  <si>
    <t>Purchase Requisition Number</t>
  </si>
  <si>
    <t>System Auto-Generated</t>
  </si>
  <si>
    <t>Out of Stock</t>
  </si>
  <si>
    <t>Reorder Now</t>
  </si>
  <si>
    <t>Suggested Qty</t>
  </si>
  <si>
    <t>Approval Date</t>
  </si>
  <si>
    <t>Notes</t>
  </si>
  <si>
    <t>Unit Cost</t>
  </si>
  <si>
    <t>Estimated Total</t>
  </si>
  <si>
    <t>Finance Batch ID:</t>
  </si>
  <si>
    <t>Date Prepared:</t>
  </si>
  <si>
    <t>Prepared By:</t>
  </si>
  <si>
    <t>Procurement Department</t>
  </si>
  <si>
    <t>Reviewed By (Finance):</t>
  </si>
  <si>
    <t>Total Items:</t>
  </si>
  <si>
    <t>Total Estimated Spend:</t>
  </si>
  <si>
    <t>Unit Cost ($)</t>
  </si>
  <si>
    <t>Reason / Trigger</t>
  </si>
  <si>
    <t>Procurement Approved By</t>
  </si>
  <si>
    <t>Prepared By (Procurement):</t>
  </si>
  <si>
    <t>Approved By (Finance Director):</t>
  </si>
  <si>
    <t>Suggested Purchase Method</t>
  </si>
  <si>
    <t>Approved</t>
  </si>
  <si>
    <t>Date:</t>
  </si>
  <si>
    <t>UOM Qty</t>
  </si>
  <si>
    <t>PURCHASE ORDER</t>
  </si>
  <si>
    <t>Bill To:</t>
  </si>
  <si>
    <t>Ship To:</t>
  </si>
  <si>
    <t>Ship Date:</t>
  </si>
  <si>
    <t>TOTAL</t>
  </si>
  <si>
    <t>Description</t>
  </si>
  <si>
    <t>Price/Case</t>
  </si>
  <si>
    <t>Subtotal</t>
  </si>
  <si>
    <t>PO#:</t>
  </si>
  <si>
    <t>Suggested Qty Needed (Each)</t>
  </si>
  <si>
    <t>Pending</t>
  </si>
  <si>
    <t>Batch ID</t>
  </si>
  <si>
    <t>Date Approved</t>
  </si>
  <si>
    <t>Qty</t>
  </si>
  <si>
    <t>Total</t>
  </si>
  <si>
    <t>Trigger</t>
  </si>
  <si>
    <t>Finance Status</t>
  </si>
  <si>
    <t>Logged By</t>
  </si>
  <si>
    <t>Email: ENTER EMAIL HERE</t>
  </si>
  <si>
    <t>Fax: ENTER FAX HERE</t>
  </si>
  <si>
    <t>Category</t>
  </si>
  <si>
    <t>Sub-Category</t>
  </si>
  <si>
    <t>Reorder Point</t>
  </si>
  <si>
    <t>Location</t>
  </si>
  <si>
    <t>Cycle Category</t>
  </si>
  <si>
    <t>Vendor SKU</t>
  </si>
  <si>
    <t>Units of Measure (UoM)</t>
  </si>
  <si>
    <t>Quantity per UoM</t>
  </si>
  <si>
    <t>Cost per UoM</t>
  </si>
  <si>
    <t>Unit Cost per UOM</t>
  </si>
  <si>
    <t>Company</t>
  </si>
  <si>
    <t>Cost per UOM</t>
  </si>
  <si>
    <t>Cost per UOM ($)</t>
  </si>
  <si>
    <t>Master File  |  Tricurrent Inventory Group</t>
  </si>
  <si>
    <t>GB-001</t>
  </si>
  <si>
    <t>Ethiopia Yirgacheffe Natural</t>
  </si>
  <si>
    <t>Green Beans</t>
  </si>
  <si>
    <t>Washed</t>
  </si>
  <si>
    <t>Texaflo Austin</t>
  </si>
  <si>
    <t>Green Source Coffee</t>
  </si>
  <si>
    <t>High Value and Importance</t>
  </si>
  <si>
    <t>GS-6400028</t>
  </si>
  <si>
    <t>kg</t>
  </si>
  <si>
    <t>Texaflo Roasting Co.</t>
  </si>
  <si>
    <t>GB-002</t>
  </si>
  <si>
    <t>Colombia Huila Washed</t>
  </si>
  <si>
    <t>GS-6400029</t>
  </si>
  <si>
    <t>GB-003</t>
  </si>
  <si>
    <t>Guatemala Antigua SHB</t>
  </si>
  <si>
    <t>Natural</t>
  </si>
  <si>
    <t>Texaflo Distribution Center</t>
  </si>
  <si>
    <t>Pacific Bean Co.</t>
  </si>
  <si>
    <t>Moderate Movement and Importance</t>
  </si>
  <si>
    <t>PB-455532</t>
  </si>
  <si>
    <t>GB-004</t>
  </si>
  <si>
    <t>Kenya AA Washed</t>
  </si>
  <si>
    <t>PB-455533</t>
  </si>
  <si>
    <t>GB-005</t>
  </si>
  <si>
    <t>Brazil Cerrado Natural</t>
  </si>
  <si>
    <t>Gulf Coast Distributors</t>
  </si>
  <si>
    <t>High Importance and Low Cost</t>
  </si>
  <si>
    <t>GC-455535</t>
  </si>
  <si>
    <t>GB-006</t>
  </si>
  <si>
    <t>Costa Rica Tarrazu</t>
  </si>
  <si>
    <t>GS-455536</t>
  </si>
  <si>
    <t>GB-007</t>
  </si>
  <si>
    <t>Sumatra Mandheling</t>
  </si>
  <si>
    <t>Wet Hulled</t>
  </si>
  <si>
    <t>PB-466891</t>
  </si>
  <si>
    <t>GB-008</t>
  </si>
  <si>
    <t>Rwanda Bourbon</t>
  </si>
  <si>
    <t>GC-466892</t>
  </si>
  <si>
    <t>RB-001</t>
  </si>
  <si>
    <t>House Blend Roasted 1kg</t>
  </si>
  <si>
    <t>Roasted Beans</t>
  </si>
  <si>
    <t>Blend</t>
  </si>
  <si>
    <t>Internal</t>
  </si>
  <si>
    <t>INT-PRM260101</t>
  </si>
  <si>
    <t>bag</t>
  </si>
  <si>
    <t>RB-002</t>
  </si>
  <si>
    <t>Single Origin Ethiopia 250g</t>
  </si>
  <si>
    <t>Single Origin</t>
  </si>
  <si>
    <t>INT-PRM260102</t>
  </si>
  <si>
    <t>RB-003</t>
  </si>
  <si>
    <t>Espresso Blend Roasted 1kg</t>
  </si>
  <si>
    <t>INT-PRM260103</t>
  </si>
  <si>
    <t>RB-004</t>
  </si>
  <si>
    <t>Decaf Colombia Roasted 500g</t>
  </si>
  <si>
    <t>Decaf</t>
  </si>
  <si>
    <t>INT-PRM260104</t>
  </si>
  <si>
    <t>RB-005</t>
  </si>
  <si>
    <t>Cold Brew Concentrate 32oz</t>
  </si>
  <si>
    <t>Cold Brew</t>
  </si>
  <si>
    <t>INT-PRM260105</t>
  </si>
  <si>
    <t>bottle</t>
  </si>
  <si>
    <t>PK-001</t>
  </si>
  <si>
    <t>Kraft Valve Bags 250g</t>
  </si>
  <si>
    <t>Packaging</t>
  </si>
  <si>
    <t>Retail Bags</t>
  </si>
  <si>
    <t>TexPack Supplies</t>
  </si>
  <si>
    <t>TP-PRM260103</t>
  </si>
  <si>
    <t>unit</t>
  </si>
  <si>
    <t>PK-002</t>
  </si>
  <si>
    <t>Kraft Valve Bags 1kg</t>
  </si>
  <si>
    <t>TP-PRM260104</t>
  </si>
  <si>
    <t>PK-003</t>
  </si>
  <si>
    <t>Window Tin-Tie Bags 500g</t>
  </si>
  <si>
    <t>TP-955850</t>
  </si>
  <si>
    <t>PK-004</t>
  </si>
  <si>
    <t>Biodegradable Valve Bags 250g</t>
  </si>
  <si>
    <t>Eco Bags</t>
  </si>
  <si>
    <t>EcoPak</t>
  </si>
  <si>
    <t>EP-955851</t>
  </si>
  <si>
    <t>PK-005</t>
  </si>
  <si>
    <t>Shipping Boxes Medium</t>
  </si>
  <si>
    <t>Shipping</t>
  </si>
  <si>
    <t>TP-NON21420</t>
  </si>
  <si>
    <t>PK-006</t>
  </si>
  <si>
    <t>Shipping Boxes Large</t>
  </si>
  <si>
    <t>Low Movement and Cost</t>
  </si>
  <si>
    <t>TP-NON21421</t>
  </si>
  <si>
    <t>PK-007</t>
  </si>
  <si>
    <t>Bubble Mailers</t>
  </si>
  <si>
    <t>TP-NON21422</t>
  </si>
  <si>
    <t>PK-008</t>
  </si>
  <si>
    <t>Tissue Paper Sheets</t>
  </si>
  <si>
    <t>Retail</t>
  </si>
  <si>
    <t>TP-NON21424</t>
  </si>
  <si>
    <t>sheet</t>
  </si>
  <si>
    <t>PK-009</t>
  </si>
  <si>
    <t>Sticker Labels Roll 2in</t>
  </si>
  <si>
    <t>Labels</t>
  </si>
  <si>
    <t>StickerMule</t>
  </si>
  <si>
    <t>SM-NON21425</t>
  </si>
  <si>
    <t>roll</t>
  </si>
  <si>
    <t>ES-001</t>
  </si>
  <si>
    <t>Burr Grinder Blades Set</t>
  </si>
  <si>
    <t>Equipment Supplies</t>
  </si>
  <si>
    <t>Grinder</t>
  </si>
  <si>
    <t>AusTex Equipment</t>
  </si>
  <si>
    <t>AE-NON21426</t>
  </si>
  <si>
    <t>set</t>
  </si>
  <si>
    <t>ES-002</t>
  </si>
  <si>
    <t>Espresso Portafilter Baskets</t>
  </si>
  <si>
    <t>Espresso</t>
  </si>
  <si>
    <t>RoastRight Tools</t>
  </si>
  <si>
    <t>RR-MSC3244</t>
  </si>
  <si>
    <t>ES-003</t>
  </si>
  <si>
    <t>Group Head Gaskets</t>
  </si>
  <si>
    <t>RR-MSC3245</t>
  </si>
  <si>
    <t>ES-004</t>
  </si>
  <si>
    <t>Roaster Drum Brushes</t>
  </si>
  <si>
    <t>Roaster</t>
  </si>
  <si>
    <t>RR-DKLOVKXD</t>
  </si>
  <si>
    <t>ES-005</t>
  </si>
  <si>
    <t>Thermocouples Type K</t>
  </si>
  <si>
    <t>AE-KDL44100</t>
  </si>
  <si>
    <t>ES-006</t>
  </si>
  <si>
    <t>CO2 Cartridges for Packaging</t>
  </si>
  <si>
    <t>Lone Star Chemicals</t>
  </si>
  <si>
    <t>LS-KDL44101</t>
  </si>
  <si>
    <t>box</t>
  </si>
  <si>
    <t>ES-007</t>
  </si>
  <si>
    <t>Scale Calibration Weights 500g</t>
  </si>
  <si>
    <t>Scales</t>
  </si>
  <si>
    <t>AE-NON21427</t>
  </si>
  <si>
    <t>RT-001</t>
  </si>
  <si>
    <t>Branded Tote Bags</t>
  </si>
  <si>
    <t>Retail Products</t>
  </si>
  <si>
    <t>Accessories</t>
  </si>
  <si>
    <t>TP-466872</t>
  </si>
  <si>
    <t>RT-002</t>
  </si>
  <si>
    <t>Ceramic Mugs 12oz</t>
  </si>
  <si>
    <t>Drinkware</t>
  </si>
  <si>
    <t>GC-466873</t>
  </si>
  <si>
    <t>RT-003</t>
  </si>
  <si>
    <t>French Press 8 Cup</t>
  </si>
  <si>
    <t>Brewers</t>
  </si>
  <si>
    <t>RR-1149682</t>
  </si>
  <si>
    <t>RT-004</t>
  </si>
  <si>
    <t>Pour Over Dripper V60</t>
  </si>
  <si>
    <t>RR-1149683</t>
  </si>
  <si>
    <t>RT-005</t>
  </si>
  <si>
    <t>V60 Filter Papers 100pk</t>
  </si>
  <si>
    <t>Filters</t>
  </si>
  <si>
    <t>RR-329364</t>
  </si>
  <si>
    <t>RT-006</t>
  </si>
  <si>
    <t>Chemex Filters 100pk</t>
  </si>
  <si>
    <t>RR-MDS093917</t>
  </si>
  <si>
    <t>RT-007</t>
  </si>
  <si>
    <t>AeroPress</t>
  </si>
  <si>
    <t>RR-MDS093918</t>
  </si>
  <si>
    <t>RT-008</t>
  </si>
  <si>
    <t>Gooseneck Kettle 1L</t>
  </si>
  <si>
    <t>Kettles</t>
  </si>
  <si>
    <t>AE-CTG1270</t>
  </si>
  <si>
    <t>RT-009</t>
  </si>
  <si>
    <t>Coffee Subscription Gift Box</t>
  </si>
  <si>
    <t>Gift Sets</t>
  </si>
  <si>
    <t>INT-CTG1271</t>
  </si>
  <si>
    <t>CM-001</t>
  </si>
  <si>
    <t>Cafiza Espresso Cleaner</t>
  </si>
  <si>
    <t>Cleaning and Maintenance</t>
  </si>
  <si>
    <t>LS-1473823</t>
  </si>
  <si>
    <t>CM-002</t>
  </si>
  <si>
    <t>Milk System Cleaner</t>
  </si>
  <si>
    <t>Milk System</t>
  </si>
  <si>
    <t>LS-1473824</t>
  </si>
  <si>
    <t>CM-003</t>
  </si>
  <si>
    <t>Grinder Cleaning Tablets</t>
  </si>
  <si>
    <t>LS-1473825</t>
  </si>
  <si>
    <t>CM-004</t>
  </si>
  <si>
    <t>Food Safe Sanitizer Spray</t>
  </si>
  <si>
    <t>General</t>
  </si>
  <si>
    <t>LS-SFE34400B</t>
  </si>
  <si>
    <t>CM-005</t>
  </si>
  <si>
    <t>Microfiber Cloths</t>
  </si>
  <si>
    <t>GC-SFE34401</t>
  </si>
  <si>
    <t>pack</t>
  </si>
  <si>
    <t>CM-006</t>
  </si>
  <si>
    <t>Descaler Solution 1L</t>
  </si>
  <si>
    <t>Equipment</t>
  </si>
  <si>
    <t>LS-1152641</t>
  </si>
  <si>
    <t>CM-007</t>
  </si>
  <si>
    <t>Steam Wand Brushes</t>
  </si>
  <si>
    <t>LS-1152642</t>
  </si>
  <si>
    <t>LS-001</t>
  </si>
  <si>
    <t>Commercial Degreaser 5gal</t>
  </si>
  <si>
    <t>Cleaning Chemicals</t>
  </si>
  <si>
    <t>Degreasers</t>
  </si>
  <si>
    <t>Lone Star Distribution Center</t>
  </si>
  <si>
    <t>ChemSource Pro</t>
  </si>
  <si>
    <t>CS-DEG5001</t>
  </si>
  <si>
    <t>pail</t>
  </si>
  <si>
    <t>Lone Star Wholesale</t>
  </si>
  <si>
    <t>LS-002</t>
  </si>
  <si>
    <t>Sanitizer Concentrate 55gal</t>
  </si>
  <si>
    <t>Sanitizers</t>
  </si>
  <si>
    <t>CS-SAN5502</t>
  </si>
  <si>
    <t>drum</t>
  </si>
  <si>
    <t>LS-003</t>
  </si>
  <si>
    <t>Floor Cleaner Neutral pH 1gal</t>
  </si>
  <si>
    <t>Floor Care</t>
  </si>
  <si>
    <t>CS-FLC1001</t>
  </si>
  <si>
    <t>jug</t>
  </si>
  <si>
    <t>LS-004</t>
  </si>
  <si>
    <t>Dish Soap Commercial 1gal</t>
  </si>
  <si>
    <t>Dishwashing</t>
  </si>
  <si>
    <t>Lone Star Houston</t>
  </si>
  <si>
    <t>CS-DSH1001</t>
  </si>
  <si>
    <t>LS-005</t>
  </si>
  <si>
    <t>Paper Towels Industrial Roll 12pk</t>
  </si>
  <si>
    <t>Paper Goods</t>
  </si>
  <si>
    <t>Paper Towels</t>
  </si>
  <si>
    <t>TXPaper Co.</t>
  </si>
  <si>
    <t>TX-PT1200</t>
  </si>
  <si>
    <t>case</t>
  </si>
  <si>
    <t>LS-006</t>
  </si>
  <si>
    <t>Napkins Kraft 500pk</t>
  </si>
  <si>
    <t>Napkins</t>
  </si>
  <si>
    <t>TX-NK5001</t>
  </si>
  <si>
    <t>LS-007</t>
  </si>
  <si>
    <t>Trash Bags 55gal Heavy Duty 50pk</t>
  </si>
  <si>
    <t>Janitorial</t>
  </si>
  <si>
    <t>Waste Management</t>
  </si>
  <si>
    <t>CleanTex Supply</t>
  </si>
  <si>
    <t>CT-TB5501</t>
  </si>
  <si>
    <t>LS-008</t>
  </si>
  <si>
    <t>Trash Bags 33gal 100pk</t>
  </si>
  <si>
    <t>CT-TB3301</t>
  </si>
  <si>
    <t>LS-009</t>
  </si>
  <si>
    <t>Mop Heads Cotton 12pk</t>
  </si>
  <si>
    <t>Mopping</t>
  </si>
  <si>
    <t>CT-MH1200</t>
  </si>
  <si>
    <t>LS-010</t>
  </si>
  <si>
    <t>Broom Commercial Upright</t>
  </si>
  <si>
    <t>Sweeping</t>
  </si>
  <si>
    <t>CT-BR0001</t>
  </si>
  <si>
    <t>LS-011</t>
  </si>
  <si>
    <t>Foodservice Gloves Nitrile M 100pk</t>
  </si>
  <si>
    <t>Foodservice PPE</t>
  </si>
  <si>
    <t>Gloves</t>
  </si>
  <si>
    <t>SafeHands Tex</t>
  </si>
  <si>
    <t>SH-GLV100M</t>
  </si>
  <si>
    <t>LS-012</t>
  </si>
  <si>
    <t>Foodservice Gloves Nitrile L 100pk</t>
  </si>
  <si>
    <t>SH-GLV100L</t>
  </si>
  <si>
    <t>LS-013</t>
  </si>
  <si>
    <t>Disposable Aprons 100pk</t>
  </si>
  <si>
    <t>Aprons</t>
  </si>
  <si>
    <t>SH-APR1000</t>
  </si>
  <si>
    <t>LS-014</t>
  </si>
  <si>
    <t>Hair Nets 144pk</t>
  </si>
  <si>
    <t>Head Protection</t>
  </si>
  <si>
    <t>SH-HN1440</t>
  </si>
  <si>
    <t>LS-015</t>
  </si>
  <si>
    <t>Kraft Paper Roll 24inx900ft</t>
  </si>
  <si>
    <t>Packaging Materials</t>
  </si>
  <si>
    <t>Wrapping</t>
  </si>
  <si>
    <t>TX-KR2400</t>
  </si>
  <si>
    <t>LS-016</t>
  </si>
  <si>
    <t>Bubble Wrap Roll 12inx100ft</t>
  </si>
  <si>
    <t>Protective Wrap</t>
  </si>
  <si>
    <t>TP-BW1200</t>
  </si>
  <si>
    <t>LS-017</t>
  </si>
  <si>
    <t>Packing Tape 2in 6pk</t>
  </si>
  <si>
    <t>Tape</t>
  </si>
  <si>
    <t>TP-PT0200</t>
  </si>
  <si>
    <t>LS-018</t>
  </si>
  <si>
    <t>Stretch Wrap 18in 4pk</t>
  </si>
  <si>
    <t>Stretch Film</t>
  </si>
  <si>
    <t>TP-SW1800</t>
  </si>
  <si>
    <t>LS-019</t>
  </si>
  <si>
    <t>Corrugated Cardboard Sheets 20x20in 25pk</t>
  </si>
  <si>
    <t>Dividers</t>
  </si>
  <si>
    <t>TP-CS2020</t>
  </si>
  <si>
    <t>LS-020</t>
  </si>
  <si>
    <t>Cold Pack Instant 5x7in 24pk</t>
  </si>
  <si>
    <t>Storage Supplies</t>
  </si>
  <si>
    <t>Temperature Control</t>
  </si>
  <si>
    <t>GC-CP0507</t>
  </si>
  <si>
    <t>LS-021</t>
  </si>
  <si>
    <t>Insulated Mailer 12x12in 25pk</t>
  </si>
  <si>
    <t>Insulated Packaging</t>
  </si>
  <si>
    <t>TP-IM1212</t>
  </si>
  <si>
    <t>LS-022</t>
  </si>
  <si>
    <t>Moisture Absorber Packets 50pk</t>
  </si>
  <si>
    <t>Desiccants</t>
  </si>
  <si>
    <t>CS-MA0050</t>
  </si>
  <si>
    <t>LS-023</t>
  </si>
  <si>
    <t>Oxygen Absorbers 300cc 100pk</t>
  </si>
  <si>
    <t>Oxygen Control</t>
  </si>
  <si>
    <t>CS-OA0300</t>
  </si>
  <si>
    <t>LS-024</t>
  </si>
  <si>
    <t>Shelf Liner Non-Slip 12inx10ft</t>
  </si>
  <si>
    <t>Storage</t>
  </si>
  <si>
    <t>CT-SL1200</t>
  </si>
  <si>
    <t>LS-025</t>
  </si>
  <si>
    <t>First Aid Kit Refill Kit Standard</t>
  </si>
  <si>
    <t>Safety</t>
  </si>
  <si>
    <t>First Aid</t>
  </si>
  <si>
    <t>SH-FA0001</t>
  </si>
  <si>
    <t>kit</t>
  </si>
  <si>
    <t>GR-001</t>
  </si>
  <si>
    <t>Carbon Block Water Filter 10in</t>
  </si>
  <si>
    <t>Water Filtration</t>
  </si>
  <si>
    <t>Carbon Filters</t>
  </si>
  <si>
    <t>Gulf Rim Miami</t>
  </si>
  <si>
    <t>AquaRim Systems</t>
  </si>
  <si>
    <t>AR-CBF1000</t>
  </si>
  <si>
    <t>Gulf Rim Distribution</t>
  </si>
  <si>
    <t>GR-002</t>
  </si>
  <si>
    <t>Sediment Filter 5 Micron 10in</t>
  </si>
  <si>
    <t>Sediment Filters</t>
  </si>
  <si>
    <t>AR-SDF0500</t>
  </si>
  <si>
    <t>GR-003</t>
  </si>
  <si>
    <t>RO Membrane 50 GPD</t>
  </si>
  <si>
    <t>RO Membranes</t>
  </si>
  <si>
    <t>AR-ROM0050</t>
  </si>
  <si>
    <t>GR-004</t>
  </si>
  <si>
    <t>Filter Housing 10in Clear</t>
  </si>
  <si>
    <t>Filter Housings</t>
  </si>
  <si>
    <t>AR-FH1000</t>
  </si>
  <si>
    <t>GR-005</t>
  </si>
  <si>
    <t>TDS Meter Digital</t>
  </si>
  <si>
    <t>Testing Equipment</t>
  </si>
  <si>
    <t>AR-TDS001</t>
  </si>
  <si>
    <t>GR-006</t>
  </si>
  <si>
    <t>pH Test Strips 100pk</t>
  </si>
  <si>
    <t>Testing Supplies</t>
  </si>
  <si>
    <t>AE-PH1000</t>
  </si>
  <si>
    <t>GR-007</t>
  </si>
  <si>
    <t>Grinder Burr Set 64mm</t>
  </si>
  <si>
    <t>Equipment Parts</t>
  </si>
  <si>
    <t>Grinder Parts</t>
  </si>
  <si>
    <t>RR-GBS6400</t>
  </si>
  <si>
    <t>GR-008</t>
  </si>
  <si>
    <t>Espresso Machine Group Seal Kit</t>
  </si>
  <si>
    <t>Espresso Parts</t>
  </si>
  <si>
    <t>RR-GSK0001</t>
  </si>
  <si>
    <t>GR-009</t>
  </si>
  <si>
    <t>Solenoid Valve 3-Way 24V</t>
  </si>
  <si>
    <t>AE-SV3W24</t>
  </si>
  <si>
    <t>GR-010</t>
  </si>
  <si>
    <t>Boiler Element 1800W</t>
  </si>
  <si>
    <t>Boiler Parts</t>
  </si>
  <si>
    <t>AE-BE1800</t>
  </si>
  <si>
    <t>GR-011</t>
  </si>
  <si>
    <t>Pump Vibration 15 Bar</t>
  </si>
  <si>
    <t>Pump Parts</t>
  </si>
  <si>
    <t>AE-PV1500</t>
  </si>
  <si>
    <t>GR-012</t>
  </si>
  <si>
    <t>Digital Temperature Controller</t>
  </si>
  <si>
    <t>Controls</t>
  </si>
  <si>
    <t>AE-DTC001</t>
  </si>
  <si>
    <t>GR-013</t>
  </si>
  <si>
    <t>Calibration Weight Set 500g</t>
  </si>
  <si>
    <t>Calibration</t>
  </si>
  <si>
    <t>Scale Calibration</t>
  </si>
  <si>
    <t>AE-CWS500</t>
  </si>
  <si>
    <t>GR-014</t>
  </si>
  <si>
    <t>Certified Reference Weight 100g</t>
  </si>
  <si>
    <t>AE-CRW100</t>
  </si>
  <si>
    <t>GR-015</t>
  </si>
  <si>
    <t>Roaster Thermocouple Type J</t>
  </si>
  <si>
    <t>Temperature Calibration</t>
  </si>
  <si>
    <t>AE-RTJ001</t>
  </si>
  <si>
    <t>GR-016</t>
  </si>
  <si>
    <t>Pressure Gauge 0-12 Bar</t>
  </si>
  <si>
    <t>Pressure Calibration</t>
  </si>
  <si>
    <t>AE-PG1200</t>
  </si>
  <si>
    <t>GR-017</t>
  </si>
  <si>
    <t>Flow Meter In-Line 3/8in</t>
  </si>
  <si>
    <t>Flow Control</t>
  </si>
  <si>
    <t>AE-FM3800</t>
  </si>
  <si>
    <t>GR-018</t>
  </si>
  <si>
    <t>Descale Solution Commercial 1gal</t>
  </si>
  <si>
    <t>Maintenance Chemicals</t>
  </si>
  <si>
    <t>Descalers</t>
  </si>
  <si>
    <t>LS-DSC1001</t>
  </si>
  <si>
    <t>GR-019</t>
  </si>
  <si>
    <t>Lubricant Food Grade NSF H1 8oz</t>
  </si>
  <si>
    <t>Lubricants</t>
  </si>
  <si>
    <t>LS-LUB0800</t>
  </si>
  <si>
    <t>GR-020</t>
  </si>
  <si>
    <t>Safety Data Sheet Binder</t>
  </si>
  <si>
    <t>Documentation</t>
  </si>
  <si>
    <t>CT-SDS001</t>
  </si>
  <si>
    <t>PR-2026-002</t>
  </si>
  <si>
    <t>16 kg</t>
  </si>
  <si>
    <t>PR-2026-003</t>
  </si>
  <si>
    <t>19 kg</t>
  </si>
  <si>
    <t>PR-2026-004</t>
  </si>
  <si>
    <t>4 kg</t>
  </si>
  <si>
    <t>PR-2026-005</t>
  </si>
  <si>
    <t>PR-2026-006</t>
  </si>
  <si>
    <t>PR-2026-007</t>
  </si>
  <si>
    <t>PR-2026-008</t>
  </si>
  <si>
    <t>Tricurrent Inventory Group – Finance Approval Form</t>
  </si>
  <si>
    <t>FIN-2026-06-21</t>
  </si>
  <si>
    <t>Robert Haites</t>
  </si>
  <si>
    <t>Parker Jackson</t>
  </si>
  <si>
    <t>Hoover Hastings</t>
  </si>
  <si>
    <t>36 units</t>
  </si>
  <si>
    <t>299 units</t>
  </si>
  <si>
    <t>shani</t>
  </si>
  <si>
    <t>Texaflo Roasting Co</t>
  </si>
  <si>
    <t>4821 Roaster Blvd</t>
  </si>
  <si>
    <t>Austin, TX 78701</t>
  </si>
  <si>
    <t>FIN-2026-06-24</t>
  </si>
  <si>
    <t>400 units</t>
  </si>
  <si>
    <t>13 jugs</t>
  </si>
  <si>
    <t>16 kgs</t>
  </si>
  <si>
    <t>19 kgs</t>
  </si>
  <si>
    <t>4 kgs</t>
  </si>
  <si>
    <t>Approved – Operationally Necessary</t>
  </si>
  <si>
    <t xml:space="preserve">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</si>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</sst>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7" formatCode="&quot;$&quot;#,##0.00_);\(&quot;$&quot;#,##0.00\)"/>
    <numFmt numFmtId="164" formatCode="&quot;$&quot;#,##0.00"/>
  </numFmts>
  <fonts count="17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rgb="FF008000"/>
      <name val="Calibri"/>
      <family val="2"/>
      <scheme val="minor"/>
    </font>
    <font>
      <b/>
      <sz val="50"/>
      <color rgb="FFFFFFFF"/>
      <name val="Calibri Light"/>
      <family val="2"/>
    </font>
    <font>
      <sz val="16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FFFFFF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0"/>
      <color rgb="FF00610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A1D00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4F3EC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6">
    <xf numFmtId="0" fontId="0" fillId="0" borderId="0" xfId="0"/>
    <xf numFmtId="14" fontId="0" fillId="0" borderId="0" xfId="0" applyNumberFormat="1"/>
    <xf numFmtId="49" fontId="0" fillId="0" borderId="0" xfId="0" applyNumberFormat="1"/>
    <xf numFmtId="2" fontId="0" fillId="0" borderId="0" xfId="0" applyNumberFormat="1"/>
    <xf numFmtId="1" fontId="0" fillId="0" borderId="0" xfId="0" applyNumberFormat="1"/>
    <xf numFmtId="0" fontId="1" fillId="2" borderId="0" xfId="0" applyFont="1" applyFill="1"/>
    <xf numFmtId="164" fontId="0" fillId="0" borderId="0" xfId="0" applyNumberFormat="1"/>
    <xf numFmtId="0" fontId="0" fillId="0" borderId="1" xfId="0" applyBorder="1"/>
    <xf numFmtId="0" fontId="0" fillId="0" borderId="0" xfId="0" applyAlignment="1">
      <alignment horizontal="left"/>
    </xf>
    <xf numFmtId="0" fontId="0" fillId="0" borderId="1" xfId="0" applyBorder="1" applyAlignment="1">
      <alignment horizontal="left"/>
    </xf>
    <xf numFmtId="164" fontId="0" fillId="0" borderId="1" xfId="0" applyNumberFormat="1" applyBorder="1" applyAlignment="1">
      <alignment horizontal="right"/>
    </xf>
    <xf numFmtId="0" fontId="2" fillId="0" borderId="0" xfId="0" applyFont="1"/>
    <xf numFmtId="0" fontId="3" fillId="0" borderId="0" xfId="0" applyFont="1" applyAlignment="1">
      <alignment horizontal="left"/>
    </xf>
    <xf numFmtId="0" fontId="3" fillId="0" borderId="0" xfId="0" applyFont="1"/>
    <xf numFmtId="0" fontId="2" fillId="0" borderId="0" xfId="0" applyFont="1" applyAlignment="1">
      <alignment horizontal="right"/>
    </xf>
    <xf numFmtId="14" fontId="3" fillId="0" borderId="0" xfId="0" applyNumberFormat="1" applyFont="1" applyAlignment="1">
      <alignment horizontal="left"/>
    </xf>
    <xf numFmtId="164" fontId="4" fillId="0" borderId="0" xfId="0" applyNumberFormat="1" applyFont="1" applyAlignment="1">
      <alignment horizontal="right"/>
    </xf>
    <xf numFmtId="0" fontId="0" fillId="0" borderId="1" xfId="0" applyBorder="1" applyAlignment="1">
      <alignment horizontal="center"/>
    </xf>
    <xf numFmtId="0" fontId="8" fillId="0" borderId="0" xfId="0" applyFont="1"/>
    <xf numFmtId="0" fontId="7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left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left" vertical="center"/>
    </xf>
    <xf numFmtId="0" fontId="9" fillId="0" borderId="0" xfId="0" applyFont="1"/>
    <xf numFmtId="7" fontId="0" fillId="0" borderId="0" xfId="0" applyNumberFormat="1"/>
    <xf numFmtId="0" fontId="0" fillId="3" borderId="0" xfId="0" applyFill="1"/>
    <xf numFmtId="0" fontId="1" fillId="4" borderId="2" xfId="0" applyFont="1" applyFill="1" applyBorder="1" applyAlignment="1">
      <alignment horizontal="center"/>
    </xf>
    <xf numFmtId="0" fontId="0" fillId="0" borderId="2" xfId="0" applyBorder="1"/>
    <xf numFmtId="164" fontId="0" fillId="0" borderId="2" xfId="0" applyNumberFormat="1" applyBorder="1"/>
    <xf numFmtId="0" fontId="0" fillId="5" borderId="0" xfId="0" applyFill="1"/>
    <xf numFmtId="0" fontId="11" fillId="0" borderId="0" xfId="0" applyFont="1"/>
    <xf numFmtId="0" fontId="13" fillId="5" borderId="0" xfId="0" applyFont="1" applyFill="1" applyAlignment="1">
      <alignment horizontal="left" vertical="center"/>
    </xf>
    <xf numFmtId="1" fontId="13" fillId="5" borderId="0" xfId="0" applyNumberFormat="1" applyFont="1" applyFill="1" applyAlignment="1">
      <alignment horizontal="left" vertical="center" indent="1"/>
    </xf>
    <xf numFmtId="0" fontId="13" fillId="5" borderId="0" xfId="0" applyFont="1" applyFill="1" applyAlignment="1">
      <alignment horizontal="left" vertical="center" indent="1"/>
    </xf>
    <xf numFmtId="2" fontId="13" fillId="5" borderId="0" xfId="0" applyNumberFormat="1" applyFont="1" applyFill="1" applyAlignment="1">
      <alignment horizontal="left" vertical="center"/>
    </xf>
    <xf numFmtId="14" fontId="9" fillId="7" borderId="0" xfId="0" applyNumberFormat="1" applyFont="1" applyFill="1" applyAlignment="1">
      <alignment vertical="center"/>
    </xf>
    <xf numFmtId="14" fontId="9" fillId="7" borderId="0" xfId="0" applyNumberFormat="1" applyFont="1" applyFill="1" applyAlignment="1">
      <alignment horizontal="left" vertical="center"/>
    </xf>
    <xf numFmtId="1" fontId="9" fillId="7" borderId="0" xfId="0" applyNumberFormat="1" applyFont="1" applyFill="1" applyAlignment="1">
      <alignment horizontal="left" vertical="center" indent="1"/>
    </xf>
    <xf numFmtId="14" fontId="9" fillId="7" borderId="0" xfId="0" applyNumberFormat="1" applyFont="1" applyFill="1" applyAlignment="1">
      <alignment horizontal="left" vertical="center" indent="1"/>
    </xf>
    <xf numFmtId="0" fontId="9" fillId="7" borderId="0" xfId="0" applyFont="1" applyFill="1" applyAlignment="1">
      <alignment horizontal="left" vertical="center"/>
    </xf>
    <xf numFmtId="2" fontId="9" fillId="7" borderId="0" xfId="0" applyNumberFormat="1" applyFont="1" applyFill="1" applyAlignment="1">
      <alignment horizontal="left" vertical="center"/>
    </xf>
    <xf numFmtId="14" fontId="0" fillId="0" borderId="0" xfId="0" applyNumberFormat="1" applyAlignment="1">
      <alignment horizontal="left" indent="1"/>
    </xf>
    <xf numFmtId="1" fontId="0" fillId="0" borderId="0" xfId="0" applyNumberFormat="1" applyAlignment="1">
      <alignment horizontal="left" indent="8"/>
    </xf>
    <xf numFmtId="14" fontId="0" fillId="0" borderId="0" xfId="0" applyNumberFormat="1" applyAlignment="1">
      <alignment horizontal="left" indent="11"/>
    </xf>
    <xf numFmtId="0" fontId="0" fillId="0" borderId="0" xfId="0" applyAlignment="1">
      <alignment horizontal="right" indent="10"/>
    </xf>
    <xf numFmtId="2" fontId="0" fillId="0" borderId="0" xfId="0" applyNumberFormat="1" applyAlignment="1">
      <alignment horizontal="right" indent="10"/>
    </xf>
    <xf numFmtId="0" fontId="11" fillId="5" borderId="0" xfId="0" applyFont="1" applyFill="1"/>
    <xf numFmtId="0" fontId="12" fillId="5" borderId="0" xfId="0" applyFont="1" applyFill="1"/>
    <xf numFmtId="0" fontId="0" fillId="0" borderId="0" xfId="0" applyAlignment="1">
      <alignment horizontal="center"/>
    </xf>
    <xf numFmtId="1" fontId="0" fillId="0" borderId="0" xfId="0" applyNumberFormat="1" applyAlignment="1">
      <alignment horizontal="left" indent="1"/>
    </xf>
    <xf numFmtId="49" fontId="0" fillId="0" borderId="0" xfId="0" applyNumberFormat="1" applyAlignment="1">
      <alignment horizontal="left" indent="1"/>
    </xf>
    <xf numFmtId="0" fontId="14" fillId="8" borderId="0" xfId="0" applyFont="1" applyFill="1" applyAlignment="1">
      <alignment horizontal="left"/>
    </xf>
    <xf numFmtId="0" fontId="0" fillId="9" borderId="0" xfId="0" applyFill="1"/>
    <xf numFmtId="0" fontId="13" fillId="6" borderId="0" xfId="0" applyFont="1" applyFill="1" applyAlignment="1">
      <alignment horizontal="left" vertical="center"/>
    </xf>
    <xf numFmtId="0" fontId="5" fillId="2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</cellXfs>
  <cellStyles count="1">
    <cellStyle name="Normal" xfId="0" builtinId="0"/>
  </cellStyles>
  <dxfs count="23">
    <dxf>
      <numFmt numFmtId="164" formatCode="&quot;$&quot;#,##0.00"/>
    </dxf>
    <dxf>
      <numFmt numFmtId="164" formatCode="&quot;$&quot;#,##0.00"/>
    </dxf>
    <dxf>
      <numFmt numFmtId="1" formatCode="0"/>
    </dxf>
    <dxf>
      <numFmt numFmtId="2" formatCode="0.00"/>
    </dxf>
    <dxf>
      <numFmt numFmtId="30" formatCode="@"/>
    </dxf>
    <dxf>
      <numFmt numFmtId="0" formatCode="General"/>
    </dxf>
    <dxf>
      <font>
        <b val="0"/>
        <sz val="9"/>
        <color rgb="FF8C5A3A"/>
      </font>
      <numFmt numFmtId="19" formatCode="m/d/yyyy"/>
      <fill>
        <patternFill patternType="solid">
          <fgColor indexed="64"/>
          <bgColor rgb="FFF5F0E8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 style="thin">
          <color rgb="FFDDD5C4"/>
        </bottom>
      </border>
    </dxf>
    <dxf>
      <font>
        <b val="0"/>
        <sz val="9"/>
        <color rgb="FF8C5A3A"/>
      </font>
      <numFmt numFmtId="2" formatCode="0.00"/>
      <fill>
        <patternFill patternType="solid">
          <fgColor indexed="64"/>
          <bgColor rgb="FFF5F0E8"/>
        </patternFill>
      </fill>
      <alignment horizontal="right" vertical="bottom" textRotation="0" wrapText="0" relativeIndent="1" justifyLastLine="0" shrinkToFit="0" readingOrder="0"/>
      <border diagonalUp="0" diagonalDown="0" outline="0">
        <left/>
        <right/>
        <top/>
        <bottom style="thin">
          <color rgb="FFDDD5C4"/>
        </bottom>
      </border>
    </dxf>
    <dxf>
      <font>
        <b val="0"/>
        <sz val="9"/>
        <color rgb="FF8C5A3A"/>
      </font>
      <numFmt numFmtId="0" formatCode="General"/>
      <fill>
        <patternFill patternType="solid">
          <fgColor indexed="64"/>
          <bgColor rgb="FFF5F0E8"/>
        </patternFill>
      </fill>
      <alignment horizontal="right" vertical="bottom" textRotation="0" wrapText="0" relativeIndent="1" justifyLastLine="0" shrinkToFit="0" readingOrder="0"/>
      <border diagonalUp="0" diagonalDown="0" outline="0">
        <left/>
        <right/>
        <top/>
        <bottom style="thin">
          <color rgb="FFDDD5C4"/>
        </bottom>
      </border>
    </dxf>
    <dxf>
      <font>
        <b val="0"/>
        <sz val="9"/>
        <color rgb="FF8C5A3A"/>
      </font>
      <numFmt numFmtId="0" formatCode="General"/>
      <fill>
        <patternFill patternType="solid">
          <fgColor indexed="64"/>
          <bgColor rgb="FFF5F0E8"/>
        </patternFill>
      </fill>
      <alignment horizontal="right" vertical="bottom" textRotation="0" wrapText="0" relativeIndent="1" justifyLastLine="0" shrinkToFit="0" readingOrder="0"/>
      <border diagonalUp="0" diagonalDown="0" outline="0">
        <left/>
        <right/>
        <top/>
        <bottom style="thin">
          <color rgb="FFDDD5C4"/>
        </bottom>
      </border>
    </dxf>
    <dxf>
      <font>
        <b val="0"/>
        <sz val="9"/>
        <color rgb="FF8C5A3A"/>
      </font>
      <numFmt numFmtId="19" formatCode="m/d/yyyy"/>
      <fill>
        <patternFill patternType="solid">
          <fgColor indexed="64"/>
          <bgColor rgb="FFF5F0E8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/>
        <bottom style="thin">
          <color rgb="FFDDD5C4"/>
        </bottom>
      </border>
    </dxf>
    <dxf>
      <font>
        <b val="0"/>
        <sz val="9"/>
        <color rgb="FF8C5A3A"/>
      </font>
      <numFmt numFmtId="19" formatCode="m/d/yyyy"/>
      <fill>
        <patternFill patternType="solid">
          <fgColor indexed="64"/>
          <bgColor rgb="FFF5F0E8"/>
        </patternFill>
      </fill>
      <alignment horizontal="left" vertical="center" textRotation="0" wrapText="0" relativeIndent="1" justifyLastLine="0" shrinkToFit="0" readingOrder="0"/>
      <border diagonalUp="0" diagonalDown="0" outline="0">
        <left/>
        <right/>
        <top/>
        <bottom style="thin">
          <color rgb="FFDDD5C4"/>
        </bottom>
      </border>
    </dxf>
    <dxf>
      <font>
        <b val="0"/>
        <sz val="9"/>
        <color rgb="FF8C5A3A"/>
      </font>
      <numFmt numFmtId="19" formatCode="m/d/yyyy"/>
      <fill>
        <patternFill patternType="solid">
          <fgColor indexed="64"/>
          <bgColor rgb="FFF5F0E8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 style="thin">
          <color rgb="FFDDD5C4"/>
        </bottom>
      </border>
    </dxf>
    <dxf>
      <font>
        <b val="0"/>
        <sz val="9"/>
        <color rgb="FF8C5A3A"/>
      </font>
      <numFmt numFmtId="19" formatCode="m/d/yyyy"/>
      <fill>
        <patternFill patternType="solid">
          <fgColor indexed="64"/>
          <bgColor rgb="FFF5F0E8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 style="thin">
          <color rgb="FFDDD5C4"/>
        </bottom>
      </border>
    </dxf>
    <dxf>
      <font>
        <b val="0"/>
        <sz val="9"/>
        <color rgb="FF8C5A3A"/>
      </font>
      <numFmt numFmtId="19" formatCode="m/d/yyyy"/>
      <fill>
        <patternFill patternType="solid">
          <fgColor indexed="64"/>
          <bgColor rgb="FFF5F0E8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 style="thin">
          <color rgb="FFDDD5C4"/>
        </bottom>
      </border>
    </dxf>
    <dxf>
      <font>
        <b val="0"/>
        <sz val="9"/>
        <color rgb="FF8C5A3A"/>
      </font>
      <numFmt numFmtId="1" formatCode="0"/>
      <fill>
        <patternFill patternType="solid">
          <fgColor indexed="64"/>
          <bgColor rgb="FFF5F0E8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/>
        <bottom style="thin">
          <color rgb="FFDDD5C4"/>
        </bottom>
      </border>
    </dxf>
    <dxf>
      <font>
        <b val="0"/>
        <sz val="9"/>
        <color rgb="FF8C5A3A"/>
      </font>
      <numFmt numFmtId="1" formatCode="0"/>
      <fill>
        <patternFill patternType="solid">
          <fgColor indexed="64"/>
          <bgColor rgb="FFF5F0E8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/>
        <bottom style="thin">
          <color rgb="FFDDD5C4"/>
        </bottom>
      </border>
    </dxf>
    <dxf>
      <font>
        <b val="0"/>
        <sz val="9"/>
        <color rgb="FF8C5A3A"/>
      </font>
      <numFmt numFmtId="19" formatCode="m/d/yyyy"/>
      <fill>
        <patternFill patternType="solid">
          <fgColor indexed="64"/>
          <bgColor rgb="FFF5F0E8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/>
        <bottom style="thin">
          <color rgb="FFDDD5C4"/>
        </bottom>
      </border>
    </dxf>
    <dxf>
      <font>
        <b val="0"/>
        <sz val="9"/>
        <color rgb="FF8C5A3A"/>
      </font>
      <numFmt numFmtId="19" formatCode="m/d/yyyy"/>
      <fill>
        <patternFill patternType="solid">
          <fgColor indexed="64"/>
          <bgColor rgb="FFF5F0E8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/>
        <bottom style="thin">
          <color rgb="FFDDD5C4"/>
        </bottom>
      </border>
    </dxf>
    <dxf>
      <font>
        <b val="0"/>
        <sz val="9"/>
        <color rgb="FF8C5A3A"/>
      </font>
      <numFmt numFmtId="19" formatCode="m/d/yyyy"/>
      <fill>
        <patternFill patternType="solid">
          <fgColor indexed="64"/>
          <bgColor rgb="FFF5F0E8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/>
        <bottom style="thin">
          <color rgb="FFDDD5C4"/>
        </bottom>
      </border>
    </dxf>
    <dxf>
      <font>
        <b val="0"/>
        <sz val="9"/>
        <color rgb="FF8C5A3A"/>
      </font>
      <numFmt numFmtId="19" formatCode="m/d/yyyy"/>
      <fill>
        <patternFill patternType="solid">
          <fgColor indexed="64"/>
          <bgColor rgb="FFF5F0E8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rgb="FFDDD5C4"/>
        </bottom>
      </border>
    </dxf>
    <dxf>
      <font>
        <b val="0"/>
        <sz val="9"/>
        <color rgb="FF8C5A3A"/>
      </font>
      <fill>
        <patternFill patternType="solid">
          <fgColor indexed="64"/>
          <bgColor rgb="FFF5F0E8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m/d/yyyy"/>
      <fill>
        <patternFill patternType="solid">
          <fgColor indexed="64"/>
          <bgColor rgb="FF996633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146166</xdr:colOff>
      <xdr:row>0</xdr:row>
      <xdr:rowOff>162329</xdr:rowOff>
    </xdr:from>
    <xdr:to>
      <xdr:col>17</xdr:col>
      <xdr:colOff>525896</xdr:colOff>
      <xdr:row>33</xdr:row>
      <xdr:rowOff>72159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18D6E2A-C2B7-47BD-A5F3-A61E532171D7}"/>
            </a:ext>
          </a:extLst>
        </xdr:cNvPr>
        <xdr:cNvSpPr/>
      </xdr:nvSpPr>
      <xdr:spPr>
        <a:xfrm>
          <a:off x="3176848" y="162329"/>
          <a:ext cx="9471775" cy="6196330"/>
        </a:xfrm>
        <a:prstGeom prst="roundRect">
          <a:avLst/>
        </a:prstGeom>
        <a:solidFill>
          <a:schemeClr val="bg2"/>
        </a:solidFill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US" sz="3200" b="1"/>
            <a:t>Tricurrent Inventory Group</a:t>
          </a:r>
          <a:r>
            <a:rPr lang="en-US" sz="3200" b="1" baseline="0"/>
            <a:t>               </a:t>
          </a:r>
        </a:p>
        <a:p>
          <a:pPr algn="ctr"/>
          <a:r>
            <a:rPr lang="en-US" sz="2000" b="1"/>
            <a:t>Purchase Requisitions,</a:t>
          </a:r>
          <a:r>
            <a:rPr lang="en-US" sz="2000" b="1" baseline="0"/>
            <a:t> Finance Approval Forms, and Purchase Orders</a:t>
          </a:r>
          <a:endParaRPr lang="en-US" sz="2000" b="1"/>
        </a:p>
      </xdr:txBody>
    </xdr:sp>
    <xdr:clientData/>
  </xdr:twoCellAnchor>
  <xdr:twoCellAnchor>
    <xdr:from>
      <xdr:col>3</xdr:col>
      <xdr:colOff>27215</xdr:colOff>
      <xdr:row>22</xdr:row>
      <xdr:rowOff>69850</xdr:rowOff>
    </xdr:from>
    <xdr:to>
      <xdr:col>7</xdr:col>
      <xdr:colOff>139700</xdr:colOff>
      <xdr:row>26</xdr:row>
      <xdr:rowOff>139700</xdr:rowOff>
    </xdr:to>
    <xdr:sp macro="[0]!GeneratePRfromInventory_NoDuplicates_AutoClose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5AE535BE-9495-4464-8204-253F2CF231B7}"/>
            </a:ext>
          </a:extLst>
        </xdr:cNvPr>
        <xdr:cNvSpPr/>
      </xdr:nvSpPr>
      <xdr:spPr>
        <a:xfrm>
          <a:off x="1864179" y="4260850"/>
          <a:ext cx="2561771" cy="831850"/>
        </a:xfrm>
        <a:prstGeom prst="roundRect">
          <a:avLst/>
        </a:prstGeom>
        <a:solidFill>
          <a:schemeClr val="tx1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baseline="0">
              <a:solidFill>
                <a:schemeClr val="bg1"/>
              </a:solidFill>
            </a:rPr>
            <a:t>Generate Purchase Requisition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280555</xdr:colOff>
      <xdr:row>22</xdr:row>
      <xdr:rowOff>39832</xdr:rowOff>
    </xdr:from>
    <xdr:to>
      <xdr:col>17</xdr:col>
      <xdr:colOff>96405</xdr:colOff>
      <xdr:row>26</xdr:row>
      <xdr:rowOff>160482</xdr:rowOff>
    </xdr:to>
    <xdr:sp macro="[0]!GeneratePOs_Professional_Final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10955B11-1B2B-477A-984B-6F74D692319E}"/>
            </a:ext>
          </a:extLst>
        </xdr:cNvPr>
        <xdr:cNvSpPr/>
      </xdr:nvSpPr>
      <xdr:spPr>
        <a:xfrm>
          <a:off x="9978737" y="4230832"/>
          <a:ext cx="2240395" cy="882650"/>
        </a:xfrm>
        <a:prstGeom prst="roundRect">
          <a:avLst/>
        </a:prstGeom>
        <a:solidFill>
          <a:schemeClr val="tx1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Generate Purchase</a:t>
          </a:r>
          <a:r>
            <a:rPr lang="en-US" sz="1400" b="1" baseline="0">
              <a:solidFill>
                <a:schemeClr val="bg1"/>
              </a:solidFill>
            </a:rPr>
            <a:t> Order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122464</xdr:colOff>
      <xdr:row>22</xdr:row>
      <xdr:rowOff>27462</xdr:rowOff>
    </xdr:from>
    <xdr:to>
      <xdr:col>12</xdr:col>
      <xdr:colOff>381000</xdr:colOff>
      <xdr:row>26</xdr:row>
      <xdr:rowOff>160812</xdr:rowOff>
    </xdr:to>
    <xdr:sp macro="[0]!Generate_Finance_And_PO_Tricurrent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DDB8E4E8-0674-4A46-B397-A44F095C7A74}"/>
            </a:ext>
          </a:extLst>
        </xdr:cNvPr>
        <xdr:cNvSpPr/>
      </xdr:nvSpPr>
      <xdr:spPr>
        <a:xfrm>
          <a:off x="5021035" y="4218462"/>
          <a:ext cx="2707822" cy="895350"/>
        </a:xfrm>
        <a:prstGeom prst="roundRect">
          <a:avLst/>
        </a:prstGeom>
        <a:solidFill>
          <a:schemeClr val="tx1"/>
        </a:solidFill>
        <a:ln>
          <a:noFill/>
        </a:ln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Generate Finance</a:t>
          </a:r>
          <a:r>
            <a:rPr lang="en-US" sz="1400" b="1" baseline="0">
              <a:solidFill>
                <a:schemeClr val="bg1"/>
              </a:solidFill>
            </a:rPr>
            <a:t> Approval Form</a:t>
          </a:r>
          <a:endParaRPr lang="en-US" sz="1400" b="1">
            <a:solidFill>
              <a:schemeClr val="bg1"/>
            </a:solidFill>
          </a:endParaRPr>
        </a:p>
      </xdr:txBody>
    </xdr:sp>
    <xdr:clientData/>
  </xdr:twoCellAnchor>
  <xdr:twoCellAnchor>
    <xdr:from>
      <xdr:col>18</xdr:col>
      <xdr:colOff>422185</xdr:colOff>
      <xdr:row>0</xdr:row>
      <xdr:rowOff>43180</xdr:rowOff>
    </xdr:from>
    <xdr:to>
      <xdr:col>23</xdr:col>
      <xdr:colOff>447290</xdr:colOff>
      <xdr:row>4</xdr:row>
      <xdr:rowOff>163830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68779F3F-DAF2-4769-BE67-86BC4BE6F6F0}"/>
            </a:ext>
          </a:extLst>
        </xdr:cNvPr>
        <xdr:cNvSpPr txBox="1"/>
      </xdr:nvSpPr>
      <xdr:spPr>
        <a:xfrm>
          <a:off x="11443971" y="43180"/>
          <a:ext cx="3086712" cy="882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/>
            <a:t>Functionalities:</a:t>
          </a:r>
        </a:p>
        <a:p>
          <a:endParaRPr lang="en-GB" sz="1100"/>
        </a:p>
        <a:p>
          <a:r>
            <a:rPr lang="en-GB" sz="1100"/>
            <a:t>-</a:t>
          </a:r>
          <a:r>
            <a:rPr lang="en-GB" sz="1100" baseline="0"/>
            <a:t> Macro-enabled sheet. User should press the buttons to enable the macros.</a:t>
          </a:r>
          <a:endParaRPr lang="en-GB" sz="1100"/>
        </a:p>
      </xdr:txBody>
    </xdr:sp>
    <xdr:clientData/>
  </xdr:twoCellAnchor>
  <xdr:twoCellAnchor editAs="oneCell">
    <xdr:from>
      <xdr:col>9</xdr:col>
      <xdr:colOff>136237</xdr:colOff>
      <xdr:row>12</xdr:row>
      <xdr:rowOff>34636</xdr:rowOff>
    </xdr:from>
    <xdr:to>
      <xdr:col>11</xdr:col>
      <xdr:colOff>250537</xdr:colOff>
      <xdr:row>20</xdr:row>
      <xdr:rowOff>3463</xdr:rowOff>
    </xdr:to>
    <xdr:pic>
      <xdr:nvPicPr>
        <xdr:cNvPr id="23" name="Graphic 22" descr="Money with solid fill">
          <a:extLst>
            <a:ext uri="{FF2B5EF4-FFF2-40B4-BE49-F238E27FC236}">
              <a16:creationId xmlns:a16="http://schemas.microsoft.com/office/drawing/2014/main" id="{9625CB91-B7BC-A473-51BE-07EE04DC0B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409873" y="2320636"/>
          <a:ext cx="1326573" cy="1492827"/>
        </a:xfrm>
        <a:prstGeom prst="rect">
          <a:avLst/>
        </a:prstGeom>
      </xdr:spPr>
    </xdr:pic>
    <xdr:clientData/>
  </xdr:twoCellAnchor>
  <xdr:twoCellAnchor editAs="oneCell">
    <xdr:from>
      <xdr:col>3</xdr:col>
      <xdr:colOff>533978</xdr:colOff>
      <xdr:row>12</xdr:row>
      <xdr:rowOff>51378</xdr:rowOff>
    </xdr:from>
    <xdr:to>
      <xdr:col>6</xdr:col>
      <xdr:colOff>118340</xdr:colOff>
      <xdr:row>19</xdr:row>
      <xdr:rowOff>127578</xdr:rowOff>
    </xdr:to>
    <xdr:pic>
      <xdr:nvPicPr>
        <xdr:cNvPr id="25" name="Graphic 24" descr="Shopping cart with solid fill">
          <a:extLst>
            <a:ext uri="{FF2B5EF4-FFF2-40B4-BE49-F238E27FC236}">
              <a16:creationId xmlns:a16="http://schemas.microsoft.com/office/drawing/2014/main" id="{92920D36-02CA-89F4-7B99-064B87CCB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170796" y="2337378"/>
          <a:ext cx="1402772" cy="1409700"/>
        </a:xfrm>
        <a:prstGeom prst="rect">
          <a:avLst/>
        </a:prstGeom>
      </xdr:spPr>
    </xdr:pic>
    <xdr:clientData/>
  </xdr:twoCellAnchor>
  <xdr:twoCellAnchor editAs="oneCell">
    <xdr:from>
      <xdr:col>14</xdr:col>
      <xdr:colOff>75045</xdr:colOff>
      <xdr:row>11</xdr:row>
      <xdr:rowOff>152977</xdr:rowOff>
    </xdr:from>
    <xdr:to>
      <xdr:col>16</xdr:col>
      <xdr:colOff>350981</xdr:colOff>
      <xdr:row>19</xdr:row>
      <xdr:rowOff>127577</xdr:rowOff>
    </xdr:to>
    <xdr:pic>
      <xdr:nvPicPr>
        <xdr:cNvPr id="27" name="Graphic 26" descr="Clipboard with solid fill">
          <a:extLst>
            <a:ext uri="{FF2B5EF4-FFF2-40B4-BE49-F238E27FC236}">
              <a16:creationId xmlns:a16="http://schemas.microsoft.com/office/drawing/2014/main" id="{7EA21B0D-845F-7AC6-727E-627D1DB19B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379363" y="2248477"/>
          <a:ext cx="1488209" cy="1498600"/>
        </a:xfrm>
        <a:prstGeom prst="rect">
          <a:avLst/>
        </a:prstGeom>
      </xdr:spPr>
    </xdr:pic>
    <xdr:clientData/>
  </xdr:twoCellAnchor>
  <xdr:twoCellAnchor>
    <xdr:from>
      <xdr:col>18</xdr:col>
      <xdr:colOff>435428</xdr:colOff>
      <xdr:row>5</xdr:row>
      <xdr:rowOff>190499</xdr:rowOff>
    </xdr:from>
    <xdr:to>
      <xdr:col>23</xdr:col>
      <xdr:colOff>460533</xdr:colOff>
      <xdr:row>27</xdr:row>
      <xdr:rowOff>0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F02BEB6C-F0B6-4B2A-A38C-C158649CF79A}"/>
            </a:ext>
          </a:extLst>
        </xdr:cNvPr>
        <xdr:cNvSpPr txBox="1"/>
      </xdr:nvSpPr>
      <xdr:spPr>
        <a:xfrm>
          <a:off x="11457214" y="1142999"/>
          <a:ext cx="3086712" cy="40005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/>
            <a:t>Workflow:</a:t>
          </a:r>
        </a:p>
        <a:p>
          <a:endParaRPr lang="en-GB" sz="1100"/>
        </a:p>
        <a:p>
          <a:r>
            <a:rPr lang="en-GB" sz="1100"/>
            <a:t>-</a:t>
          </a:r>
          <a:r>
            <a:rPr lang="en-GB" sz="1100" baseline="0"/>
            <a:t> </a:t>
          </a:r>
          <a:r>
            <a:rPr lang="en-US"/>
            <a:t>The user clicks </a:t>
          </a:r>
          <a:r>
            <a:rPr lang="en-US" b="1"/>
            <a:t>Generate Purchase Requisition</a:t>
          </a:r>
          <a:r>
            <a:rPr lang="en-US"/>
            <a:t>, then opens the Purchase Requisition sheet. </a:t>
          </a:r>
        </a:p>
        <a:p>
          <a:endParaRPr lang="en-US"/>
        </a:p>
        <a:p>
          <a:r>
            <a:rPr lang="en-US"/>
            <a:t>- In Column I, the user updates the status to approve any items that should move forward to Finance for approval. </a:t>
          </a:r>
        </a:p>
        <a:p>
          <a:endParaRPr lang="en-US"/>
        </a:p>
        <a:p>
          <a:r>
            <a:rPr lang="en-US"/>
            <a:t>- Once the relevant items are marked approved, the user clicks </a:t>
          </a:r>
          <a:r>
            <a:rPr lang="en-US" b="1"/>
            <a:t>Generate Finance Approval Form</a:t>
          </a:r>
          <a:r>
            <a:rPr lang="en-US"/>
            <a:t> (only approved items will appear on the form).</a:t>
          </a:r>
        </a:p>
        <a:p>
          <a:endParaRPr lang="en-US"/>
        </a:p>
        <a:p>
          <a:r>
            <a:rPr lang="en-US"/>
            <a:t>- A Finance team member then clicks either </a:t>
          </a:r>
          <a:r>
            <a:rPr lang="en-US" b="1"/>
            <a:t>Approve</a:t>
          </a:r>
          <a:r>
            <a:rPr lang="en-US"/>
            <a:t> or </a:t>
          </a:r>
          <a:r>
            <a:rPr lang="en-US" b="1"/>
            <a:t>Deny</a:t>
          </a:r>
          <a:r>
            <a:rPr lang="en-US"/>
            <a:t> on the Finance Approval Form. </a:t>
          </a:r>
        </a:p>
        <a:p>
          <a:endParaRPr lang="en-US"/>
        </a:p>
        <a:p>
          <a:r>
            <a:rPr lang="en-US"/>
            <a:t>- If approved, the user clicks </a:t>
          </a:r>
          <a:r>
            <a:rPr lang="en-US" b="1"/>
            <a:t>Generate Purchase Order</a:t>
          </a:r>
          <a:r>
            <a:rPr lang="en-US"/>
            <a:t>, which creates a new sheet for each unique vendor included on the Finance Approval Form.</a:t>
          </a:r>
        </a:p>
        <a:p>
          <a:endParaRPr lang="en-US"/>
        </a:p>
        <a:p>
          <a:r>
            <a:rPr lang="en-US"/>
            <a:t>- All approved purchases are automatically logged in the Finance Approval Log.</a:t>
          </a:r>
          <a:endParaRPr lang="en-GB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1295400</xdr:colOff>
          <xdr:row>0</xdr:row>
          <xdr:rowOff>0</xdr:rowOff>
        </xdr:from>
        <xdr:to>
          <xdr:col>15</xdr:col>
          <xdr:colOff>0</xdr:colOff>
          <xdr:row>2</xdr:row>
          <xdr:rowOff>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Entry</a:t>
              </a:r>
            </a:p>
          </xdr:txBody>
        </xdr:sp>
        <xdr:clientData fPrintsWithSheet="0"/>
      </xdr:twoCellAnchor>
    </mc:Choice>
    <mc:Fallback/>
  </mc:AlternateContent>
  <xdr:twoCellAnchor>
    <xdr:from>
      <xdr:col>16</xdr:col>
      <xdr:colOff>0</xdr:colOff>
      <xdr:row>4</xdr:row>
      <xdr:rowOff>0</xdr:rowOff>
    </xdr:from>
    <xdr:to>
      <xdr:col>18</xdr:col>
      <xdr:colOff>680861</xdr:colOff>
      <xdr:row>6</xdr:row>
      <xdr:rowOff>158014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33424C1-759F-46DE-A441-FA983D2BCF62}"/>
            </a:ext>
          </a:extLst>
        </xdr:cNvPr>
        <xdr:cNvSpPr txBox="1"/>
      </xdr:nvSpPr>
      <xdr:spPr>
        <a:xfrm>
          <a:off x="28384500" y="990600"/>
          <a:ext cx="2147711" cy="65331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 b="1"/>
            <a:t>Functionalities:</a:t>
          </a:r>
        </a:p>
        <a:p>
          <a:r>
            <a:rPr lang="en-GB" sz="1100"/>
            <a:t>-</a:t>
          </a:r>
          <a:r>
            <a:rPr lang="en-GB" sz="1100" baseline="0"/>
            <a:t> Manually entered information from Inventory Team</a:t>
          </a:r>
          <a:endParaRPr lang="en-GB" sz="1100"/>
        </a:p>
      </xdr:txBody>
    </xdr:sp>
    <xdr:clientData/>
  </xdr:twoCellAnchor>
  <xdr:twoCellAnchor>
    <xdr:from>
      <xdr:col>16</xdr:col>
      <xdr:colOff>6492</xdr:colOff>
      <xdr:row>7</xdr:row>
      <xdr:rowOff>63671</xdr:rowOff>
    </xdr:from>
    <xdr:to>
      <xdr:col>18</xdr:col>
      <xdr:colOff>692292</xdr:colOff>
      <xdr:row>12</xdr:row>
      <xdr:rowOff>90280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A0EDEC95-80D1-4C45-AAD0-A0A6DB696DF0}"/>
            </a:ext>
          </a:extLst>
        </xdr:cNvPr>
        <xdr:cNvSpPr txBox="1"/>
      </xdr:nvSpPr>
      <xdr:spPr>
        <a:xfrm>
          <a:off x="28390992" y="1797221"/>
          <a:ext cx="2152650" cy="12648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/>
            <a:t>NOTE:</a:t>
          </a:r>
          <a:r>
            <a:rPr lang="en-US" sz="1100"/>
            <a:t> </a:t>
          </a:r>
          <a:r>
            <a:rPr lang="en-US" b="0"/>
            <a:t>Press the Tab key while</a:t>
          </a:r>
          <a:r>
            <a:rPr lang="en-US" b="0" baseline="0"/>
            <a:t> your cursor is in</a:t>
          </a:r>
          <a:r>
            <a:rPr lang="en-US" b="0"/>
            <a:t> the last cell of the last column (Column 0) to create a new row. This ensures that all validations and formulas are automatically applied to the new row.</a:t>
          </a:r>
        </a:p>
        <a:p>
          <a:endParaRPr lang="en-US" sz="1100"/>
        </a:p>
      </xdr:txBody>
    </xdr:sp>
    <xdr:clientData/>
  </xdr:twoCellAnchor>
  <xdr:twoCellAnchor>
    <xdr:from>
      <xdr:col>16</xdr:col>
      <xdr:colOff>16652</xdr:colOff>
      <xdr:row>12</xdr:row>
      <xdr:rowOff>212483</xdr:rowOff>
    </xdr:from>
    <xdr:to>
      <xdr:col>18</xdr:col>
      <xdr:colOff>696102</xdr:colOff>
      <xdr:row>16</xdr:row>
      <xdr:rowOff>143198</xdr:rowOff>
    </xdr:to>
    <xdr:sp macro="" textlink="">
      <xdr:nvSpPr>
        <xdr:cNvPr id="4" name="TextBox 1">
          <a:extLst>
            <a:ext uri="{FF2B5EF4-FFF2-40B4-BE49-F238E27FC236}">
              <a16:creationId xmlns:a16="http://schemas.microsoft.com/office/drawing/2014/main" id="{D9596DEC-9A21-4570-AA7D-23DE506A5C65}"/>
            </a:ext>
          </a:extLst>
        </xdr:cNvPr>
        <xdr:cNvSpPr txBox="1"/>
      </xdr:nvSpPr>
      <xdr:spPr>
        <a:xfrm>
          <a:off x="28401152" y="3184283"/>
          <a:ext cx="2146300" cy="9213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1"/>
            <a:t>NOTE:</a:t>
          </a:r>
          <a:r>
            <a:rPr lang="en-US" sz="1100"/>
            <a:t> </a:t>
          </a:r>
          <a:r>
            <a:rPr lang="en-US" b="0"/>
            <a:t>Enter each UOM as a new row. 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19050</xdr:colOff>
          <xdr:row>1</xdr:row>
          <xdr:rowOff>9525</xdr:rowOff>
        </xdr:from>
        <xdr:to>
          <xdr:col>23</xdr:col>
          <xdr:colOff>0</xdr:colOff>
          <xdr:row>2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PR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590550</xdr:colOff>
          <xdr:row>0</xdr:row>
          <xdr:rowOff>161925</xdr:rowOff>
        </xdr:from>
        <xdr:to>
          <xdr:col>27</xdr:col>
          <xdr:colOff>314325</xdr:colOff>
          <xdr:row>2</xdr:row>
          <xdr:rowOff>66675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Finance Approval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19050</xdr:colOff>
          <xdr:row>0</xdr:row>
          <xdr:rowOff>142875</xdr:rowOff>
        </xdr:from>
        <xdr:to>
          <xdr:col>29</xdr:col>
          <xdr:colOff>390525</xdr:colOff>
          <xdr:row>2</xdr:row>
          <xdr:rowOff>104775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POs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504825</xdr:colOff>
      <xdr:row>3</xdr:row>
      <xdr:rowOff>6350</xdr:rowOff>
    </xdr:from>
    <xdr:to>
      <xdr:col>11</xdr:col>
      <xdr:colOff>2028825</xdr:colOff>
      <xdr:row>4</xdr:row>
      <xdr:rowOff>180975</xdr:rowOff>
    </xdr:to>
    <xdr:sp macro="Approve_Selected" textlink="">
      <xdr:nvSpPr>
        <xdr:cNvPr id="17" name="btnApprove">
          <a:extLst>
            <a:ext uri="{FF2B5EF4-FFF2-40B4-BE49-F238E27FC236}">
              <a16:creationId xmlns:a16="http://schemas.microsoft.com/office/drawing/2014/main" id="{7919862C-1562-3DA5-13C8-5B2B540A910A}"/>
            </a:ext>
          </a:extLst>
        </xdr:cNvPr>
        <xdr:cNvSpPr/>
      </xdr:nvSpPr>
      <xdr:spPr>
        <a:xfrm>
          <a:off x="22729825" y="895350"/>
          <a:ext cx="1524000" cy="508000"/>
        </a:xfrm>
        <a:prstGeom prst="roundRect">
          <a:avLst/>
        </a:prstGeom>
        <a:solidFill>
          <a:srgbClr val="009900"/>
        </a:solidFill>
        <a:ln>
          <a:solidFill>
            <a:srgbClr val="0099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 b="1">
              <a:latin typeface="Calibri" panose="020F0502020204030204" pitchFamily="34" charset="0"/>
            </a:rPr>
            <a:t>APPROVE</a:t>
          </a:r>
        </a:p>
      </xdr:txBody>
    </xdr:sp>
    <xdr:clientData/>
  </xdr:twoCellAnchor>
  <xdr:twoCellAnchor>
    <xdr:from>
      <xdr:col>11</xdr:col>
      <xdr:colOff>504825</xdr:colOff>
      <xdr:row>5</xdr:row>
      <xdr:rowOff>38100</xdr:rowOff>
    </xdr:from>
    <xdr:to>
      <xdr:col>11</xdr:col>
      <xdr:colOff>2028825</xdr:colOff>
      <xdr:row>6</xdr:row>
      <xdr:rowOff>212725</xdr:rowOff>
    </xdr:to>
    <xdr:sp macro="Deny_Selected" textlink="">
      <xdr:nvSpPr>
        <xdr:cNvPr id="18" name="btnDeny">
          <a:extLst>
            <a:ext uri="{FF2B5EF4-FFF2-40B4-BE49-F238E27FC236}">
              <a16:creationId xmlns:a16="http://schemas.microsoft.com/office/drawing/2014/main" id="{A3C33CC0-3E38-7181-AD20-89FA41142284}"/>
            </a:ext>
          </a:extLst>
        </xdr:cNvPr>
        <xdr:cNvSpPr/>
      </xdr:nvSpPr>
      <xdr:spPr>
        <a:xfrm>
          <a:off x="22729825" y="1593850"/>
          <a:ext cx="1524000" cy="508000"/>
        </a:xfrm>
        <a:prstGeom prst="roundRect">
          <a:avLst/>
        </a:prstGeom>
        <a:solidFill>
          <a:srgbClr val="EB0000"/>
        </a:solidFill>
        <a:ln>
          <a:solidFill>
            <a:srgbClr val="EB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 b="1">
              <a:latin typeface="Calibri" panose="020F0502020204030204" pitchFamily="34" charset="0"/>
            </a:rPr>
            <a:t>DENY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microsoft.com/office/2019/04/relationships/externalLinkLongPath" Target="https://netorgft6705109-my.sharepoint.com/personal/admin_ryzemd_com/Documents/00%20Ryze%20HealthCare%20&amp;%20Mangement%20Company/04%20HCMC%20Global%20Vendor%20Files/01%20Ryze%20Renal%20Care%20Vendors/Baxter/Baxter%20Medical%20Supplies%20Only/Completed%20Purchase%20Order%20in%20QB/2025/Employee%20absence%20schedule1?F54EA796" TargetMode="External"/><Relationship Id="rId1" Type="http://schemas.openxmlformats.org/officeDocument/2006/relationships/externalLinkPath" Target="file:///\\F54EA796\Employee%20absence%20schedule1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shani\Documents\Portfolio\TricurrentInventoryGroup_Inventory_Management.xlsm" TargetMode="External"/><Relationship Id="rId1" Type="http://schemas.openxmlformats.org/officeDocument/2006/relationships/externalLinkPath" Target="TricurrentInventoryGroup_Inventory_Managemen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January"/>
      <sheetName val="February"/>
      <sheetName val="March"/>
      <sheetName val="April"/>
      <sheetName val="May"/>
      <sheetName val="June"/>
      <sheetName val="July"/>
      <sheetName val="August"/>
      <sheetName val="September"/>
      <sheetName val="October"/>
      <sheetName val="November"/>
      <sheetName val="December"/>
      <sheetName val="Employee names"/>
      <sheetName val="Employee absence schedule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 Panel"/>
      <sheetName val="Master File"/>
      <sheetName val="Bundle List"/>
      <sheetName val="Physical Count"/>
      <sheetName val="Cycle Count Selection"/>
      <sheetName val="Batch Bundle Usage"/>
      <sheetName val="Outflow"/>
      <sheetName val="Inflow"/>
      <sheetName val="Live Stock"/>
      <sheetName val="Variance Report"/>
      <sheetName val="Inventory Overview"/>
      <sheetName val="Transfer Log"/>
      <sheetName val="Dashboard"/>
      <sheetName val="Expected Usage"/>
      <sheetName val="Stock Snapshots"/>
      <sheetName val="Pivot Tables"/>
      <sheetName val="Physical Count Archive"/>
      <sheetName val="Resolved Variances Archive"/>
      <sheetName val="TricurrentInventoryGroup_Invent"/>
    </sheetNames>
    <definedNames>
      <definedName name="OpenMasterEntryForm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1A134D0-0A63-4DA2-8332-980FA59C6385}" name="MasterFile5" displayName="MasterFile5" ref="A4:O94" totalsRowShown="0" headerRowDxfId="22" dataDxfId="21">
  <autoFilter ref="A4:O94" xr:uid="{74F652B1-CD34-BE42-A77E-75503DD44F41}"/>
  <sortState xmlns:xlrd2="http://schemas.microsoft.com/office/spreadsheetml/2017/richdata2" ref="A5:O94">
    <sortCondition ref="A4:A94"/>
  </sortState>
  <tableColumns count="15">
    <tableColumn id="1" xr3:uid="{FAA4AFCD-B2EA-4422-9771-79066D61BB27}" name="SKU" dataDxfId="20"/>
    <tableColumn id="2" xr3:uid="{3585148E-993D-4420-8E21-1B6E053EED11}" name="Item Name" dataDxfId="19"/>
    <tableColumn id="3" xr3:uid="{7D7C7D38-8F82-4C05-BEFF-73A09C035386}" name="Category" dataDxfId="18"/>
    <tableColumn id="6" xr3:uid="{D13BBF81-45FA-4CA1-8EB4-442816EFE37B}" name="Sub-Category" dataDxfId="17"/>
    <tableColumn id="5" xr3:uid="{36A95A3F-5D7A-4141-A12E-DF0B8F7E1BF6}" name="Reorder Point" dataDxfId="16"/>
    <tableColumn id="7" xr3:uid="{EC9821E3-0A3F-4EBC-B3EB-B6DC5E331F1D}" name="Optimal Quantity" dataDxfId="15"/>
    <tableColumn id="4" xr3:uid="{ABC277FC-FE76-4218-9681-1B8A85113061}" name="Location" dataDxfId="14"/>
    <tableColumn id="8" xr3:uid="{AB2AC4A8-4643-4CAD-A11D-FB526B3C1B2F}" name="Vendor" dataDxfId="13"/>
    <tableColumn id="9" xr3:uid="{A01CFBB9-75A1-488C-841B-CCA5ADED2C1C}" name="Cycle Category" dataDxfId="12"/>
    <tableColumn id="10" xr3:uid="{346446F4-C8BB-49FD-8EEF-F749520E68E8}" name="Vendor SKU" dataDxfId="11"/>
    <tableColumn id="11" xr3:uid="{AC4568D5-28EA-4395-A362-636FB98DC844}" name="Units of Measure (UoM)" dataDxfId="10"/>
    <tableColumn id="14" xr3:uid="{1E46CD5C-8F84-449C-A1D6-2F1F7C2E1102}" name="Quantity per UoM" dataDxfId="9"/>
    <tableColumn id="12" xr3:uid="{23C711E9-2A95-41D9-9F0D-8F3B295945FA}" name="Cost per UoM" dataDxfId="8"/>
    <tableColumn id="13" xr3:uid="{29CD720C-B2E6-474E-BCF3-0DDADC342C28}" name="Unit Cost per UOM" dataDxfId="7">
      <calculatedColumnFormula>MasterFile5[[#This Row],[Cost per UoM]]/MasterFile5[[#This Row],[Quantity per UoM]]</calculatedColumnFormula>
    </tableColumn>
    <tableColumn id="15" xr3:uid="{39B1949D-837D-411D-AA98-DF8849694C0F}" name="Company" dataDxfId="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EC51DB0-2496-4FBF-94EE-30619EECA845}" name="Table19" displayName="Table19" ref="A1:T8" totalsRowShown="0">
  <autoFilter ref="A1:T8" xr:uid="{DD4F43D3-6EE2-40D5-8E67-59B065AACDF8}"/>
  <tableColumns count="20">
    <tableColumn id="1" xr3:uid="{EB5124F3-20DF-4E30-8AF3-8188F4962A71}" name="Purchase Requisition Number"/>
    <tableColumn id="2" xr3:uid="{A825468F-4C56-4C55-9344-FC51BC2A76FF}" name="Date"/>
    <tableColumn id="3" xr3:uid="{5618BA5F-B637-410C-9C7C-8940F95A6A91}" name="Requested by"/>
    <tableColumn id="4" xr3:uid="{4B90BCA5-2D5F-4D72-9AD7-15E508FE7877}" name="SKU"/>
    <tableColumn id="5" xr3:uid="{08E8D6E5-1137-47B3-BFA6-B4A3D2DAE58D}" name="Item Name" dataDxfId="5"/>
    <tableColumn id="6" xr3:uid="{78A5C322-28A1-4ED4-AB28-E0D3C7FD7FAE}" name="Current Stock"/>
    <tableColumn id="7" xr3:uid="{07ACDDF7-6785-4BBD-86C5-FBBAFDC57586}" name="Optimal Quantity"/>
    <tableColumn id="15" xr3:uid="{F0400991-A06A-4626-8434-E0E8BE7F66C2}" name="Suggested Qty"/>
    <tableColumn id="8" xr3:uid="{56CF2019-8934-4556-B0FB-E06BE4D1303E}" name="Status"/>
    <tableColumn id="9" xr3:uid="{D6421D58-9B7D-4632-9076-E2624D380E19}" name="Reason/Trigger"/>
    <tableColumn id="11" xr3:uid="{CFB77B39-97C2-4F80-866F-9FCE780654AA}" name="Vendor"/>
    <tableColumn id="12" xr3:uid="{6B0A2BCB-4960-4A7D-96A3-D2AED8585861}" name="Vendor ID" dataDxfId="4"/>
    <tableColumn id="13" xr3:uid="{A3CD018C-37E8-4426-BA56-D169D7782789}" name="UOM" dataDxfId="3"/>
    <tableColumn id="14" xr3:uid="{29479E9C-0A3D-409D-B35C-D6E32A6658F1}" name="UOM Quantity" dataDxfId="2"/>
    <tableColumn id="16" xr3:uid="{73D3D059-A60A-4C4A-8FE3-170F97B6C224}" name="Unit Cost" dataDxfId="1"/>
    <tableColumn id="17" xr3:uid="{49B5C8F6-2D93-4C7B-9B73-A74DE86C1EE9}" name="Estimated Total" dataDxfId="0"/>
    <tableColumn id="18" xr3:uid="{7CD2299C-329F-40EB-9C54-1263A1EDED6B}" name="Cost per UOM"/>
    <tableColumn id="19" xr3:uid="{4F7797FB-229D-4F54-970F-CE9B0FB98B4A}" name="Approval Date"/>
    <tableColumn id="10" xr3:uid="{7FBD4A9D-CF2D-4676-B29D-E30EE189063F}" name="Suggested Purchase Method"/>
    <tableColumn id="20" xr3:uid="{5255DB19-0F12-40E7-B409-847C71194B5F}" name="Note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AFA0C-B6FF-41F9-9E78-1F16691F2A88}">
  <sheetPr codeName="Sheet20"/>
  <dimension ref="P17:Y34"/>
  <sheetViews>
    <sheetView showGridLines="0" tabSelected="1" zoomScale="70" zoomScaleNormal="70" workbookViewId="0">
      <selection activeCell="AB19" sqref="AB19"/>
    </sheetView>
  </sheetViews>
  <sheetFormatPr defaultRowHeight="15" x14ac:dyDescent="0.25"/>
  <cols>
    <col min="1" max="16384" width="9.140625" style="52"/>
  </cols>
  <sheetData>
    <row r="17" spans="16:25" x14ac:dyDescent="0.25">
      <c r="Y17" s="52" t="s">
        <v>493</v>
      </c>
    </row>
    <row r="18" spans="16:25" x14ac:dyDescent="0.25">
      <c r="P18" s="52" t="s">
        <v>493</v>
      </c>
    </row>
    <row r="34" spans="21:21" x14ac:dyDescent="0.25">
      <c r="U34" s="52" t="s">
        <v>494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3E093-D151-467C-82C5-6B0847416244}">
  <sheetPr codeName="Sheet9"/>
  <dimension ref="A1:FI94"/>
  <sheetViews>
    <sheetView zoomScale="60" zoomScaleNormal="60" workbookViewId="0">
      <pane ySplit="4" topLeftCell="A5" activePane="bottomLeft" state="frozen"/>
      <selection pane="bottomLeft" activeCell="F20" sqref="F20"/>
    </sheetView>
  </sheetViews>
  <sheetFormatPr defaultColWidth="11" defaultRowHeight="20.100000000000001" customHeight="1" x14ac:dyDescent="0.25"/>
  <cols>
    <col min="1" max="1" width="10.85546875" bestFit="1" customWidth="1"/>
    <col min="2" max="2" width="45.5703125" bestFit="1" customWidth="1"/>
    <col min="3" max="3" width="28.28515625" style="48" bestFit="1" customWidth="1"/>
    <col min="4" max="4" width="26.140625" style="48" bestFit="1" customWidth="1"/>
    <col min="5" max="5" width="23.28515625" style="49" bestFit="1" customWidth="1"/>
    <col min="6" max="6" width="26.28515625" style="49" bestFit="1" customWidth="1"/>
    <col min="7" max="7" width="31.140625" bestFit="1" customWidth="1"/>
    <col min="8" max="8" width="24.85546875" bestFit="1" customWidth="1"/>
    <col min="9" max="9" width="39.7109375" bestFit="1" customWidth="1"/>
    <col min="10" max="10" width="20.42578125" style="50" bestFit="1" customWidth="1"/>
    <col min="11" max="11" width="35.85546875" style="48" bestFit="1" customWidth="1"/>
    <col min="12" max="12" width="27.28515625" bestFit="1" customWidth="1"/>
    <col min="13" max="13" width="23" bestFit="1" customWidth="1"/>
    <col min="14" max="14" width="29" style="3" bestFit="1" customWidth="1"/>
    <col min="15" max="15" width="23" bestFit="1" customWidth="1"/>
    <col min="16" max="165" width="11" style="29"/>
  </cols>
  <sheetData>
    <row r="1" spans="1:165" ht="20.100000000000001" customHeight="1" x14ac:dyDescent="0.25">
      <c r="A1" s="53" t="s">
        <v>70</v>
      </c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</row>
    <row r="2" spans="1:165" ht="20.100000000000001" customHeight="1" x14ac:dyDescent="0.25">
      <c r="A2" s="53"/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</row>
    <row r="3" spans="1:165" ht="20.100000000000001" customHeight="1" x14ac:dyDescent="0.25">
      <c r="A3" s="31"/>
      <c r="B3" s="31"/>
      <c r="C3" s="31"/>
      <c r="D3" s="31"/>
      <c r="E3" s="32"/>
      <c r="F3" s="32"/>
      <c r="G3" s="31"/>
      <c r="H3" s="31"/>
      <c r="I3" s="31"/>
      <c r="J3" s="33"/>
      <c r="K3" s="31"/>
      <c r="L3" s="31"/>
      <c r="M3" s="31"/>
      <c r="N3" s="34"/>
      <c r="O3" s="31"/>
    </row>
    <row r="4" spans="1:165" ht="20.100000000000001" customHeight="1" x14ac:dyDescent="0.25">
      <c r="A4" s="35" t="s">
        <v>9</v>
      </c>
      <c r="B4" s="35" t="s">
        <v>8</v>
      </c>
      <c r="C4" s="36" t="s">
        <v>57</v>
      </c>
      <c r="D4" s="36" t="s">
        <v>58</v>
      </c>
      <c r="E4" s="37" t="s">
        <v>59</v>
      </c>
      <c r="F4" s="37" t="s">
        <v>6</v>
      </c>
      <c r="G4" s="36" t="s">
        <v>60</v>
      </c>
      <c r="H4" s="36" t="s">
        <v>3</v>
      </c>
      <c r="I4" s="36" t="s">
        <v>61</v>
      </c>
      <c r="J4" s="38" t="s">
        <v>62</v>
      </c>
      <c r="K4" s="36" t="s">
        <v>63</v>
      </c>
      <c r="L4" s="39" t="s">
        <v>64</v>
      </c>
      <c r="M4" s="39" t="s">
        <v>65</v>
      </c>
      <c r="N4" s="40" t="s">
        <v>66</v>
      </c>
      <c r="O4" s="36" t="s">
        <v>67</v>
      </c>
    </row>
    <row r="5" spans="1:165" ht="20.100000000000001" customHeight="1" x14ac:dyDescent="0.25">
      <c r="A5" s="1" t="s">
        <v>71</v>
      </c>
      <c r="B5" s="1" t="s">
        <v>72</v>
      </c>
      <c r="C5" s="41" t="s">
        <v>73</v>
      </c>
      <c r="D5" s="41" t="s">
        <v>74</v>
      </c>
      <c r="E5" s="42">
        <v>50</v>
      </c>
      <c r="F5" s="42">
        <v>200</v>
      </c>
      <c r="G5" s="1" t="s">
        <v>75</v>
      </c>
      <c r="H5" s="1" t="s">
        <v>76</v>
      </c>
      <c r="I5" s="1" t="s">
        <v>77</v>
      </c>
      <c r="J5" s="41" t="s">
        <v>78</v>
      </c>
      <c r="K5" s="43" t="s">
        <v>79</v>
      </c>
      <c r="L5" s="44">
        <v>12</v>
      </c>
      <c r="M5" s="44">
        <v>72.36</v>
      </c>
      <c r="N5" s="45">
        <f>MasterFile5[[#This Row],[Cost per UoM]]/MasterFile5[[#This Row],[Quantity per UoM]]</f>
        <v>6.03</v>
      </c>
      <c r="O5" s="1" t="s">
        <v>80</v>
      </c>
    </row>
    <row r="6" spans="1:165" ht="20.100000000000001" customHeight="1" x14ac:dyDescent="0.25">
      <c r="A6" s="1" t="s">
        <v>81</v>
      </c>
      <c r="B6" s="1" t="s">
        <v>82</v>
      </c>
      <c r="C6" s="41" t="s">
        <v>73</v>
      </c>
      <c r="D6" s="41" t="s">
        <v>74</v>
      </c>
      <c r="E6" s="42">
        <v>60</v>
      </c>
      <c r="F6" s="42">
        <v>240</v>
      </c>
      <c r="G6" s="1" t="s">
        <v>75</v>
      </c>
      <c r="H6" s="1" t="s">
        <v>76</v>
      </c>
      <c r="I6" s="1" t="s">
        <v>77</v>
      </c>
      <c r="J6" s="41" t="s">
        <v>83</v>
      </c>
      <c r="K6" s="43" t="s">
        <v>79</v>
      </c>
      <c r="L6" s="44">
        <v>12</v>
      </c>
      <c r="M6" s="44">
        <v>86.4</v>
      </c>
      <c r="N6" s="45">
        <f>MasterFile5[[#This Row],[Cost per UoM]]/MasterFile5[[#This Row],[Quantity per UoM]]</f>
        <v>7.2</v>
      </c>
      <c r="O6" s="1" t="s">
        <v>80</v>
      </c>
    </row>
    <row r="7" spans="1:165" ht="20.100000000000001" customHeight="1" x14ac:dyDescent="0.25">
      <c r="A7" s="1" t="s">
        <v>84</v>
      </c>
      <c r="B7" s="1" t="s">
        <v>85</v>
      </c>
      <c r="C7" s="41" t="s">
        <v>73</v>
      </c>
      <c r="D7" s="41" t="s">
        <v>86</v>
      </c>
      <c r="E7" s="42">
        <v>40</v>
      </c>
      <c r="F7" s="42">
        <v>160</v>
      </c>
      <c r="G7" s="1" t="s">
        <v>87</v>
      </c>
      <c r="H7" s="1" t="s">
        <v>88</v>
      </c>
      <c r="I7" s="1" t="s">
        <v>89</v>
      </c>
      <c r="J7" s="41" t="s">
        <v>90</v>
      </c>
      <c r="K7" s="43" t="s">
        <v>79</v>
      </c>
      <c r="L7" s="44">
        <v>72</v>
      </c>
      <c r="M7" s="44">
        <v>65.77</v>
      </c>
      <c r="N7" s="45">
        <f>MasterFile5[[#This Row],[Cost per UoM]]/MasterFile5[[#This Row],[Quantity per UoM]]</f>
        <v>0.91347222222222213</v>
      </c>
      <c r="O7" s="1" t="s">
        <v>80</v>
      </c>
    </row>
    <row r="8" spans="1:165" ht="20.100000000000001" customHeight="1" x14ac:dyDescent="0.25">
      <c r="A8" s="1" t="s">
        <v>91</v>
      </c>
      <c r="B8" s="1" t="s">
        <v>92</v>
      </c>
      <c r="C8" s="41" t="s">
        <v>73</v>
      </c>
      <c r="D8" s="41" t="s">
        <v>74</v>
      </c>
      <c r="E8" s="42">
        <v>30</v>
      </c>
      <c r="F8" s="42">
        <v>120</v>
      </c>
      <c r="G8" s="1" t="s">
        <v>75</v>
      </c>
      <c r="H8" s="1" t="s">
        <v>88</v>
      </c>
      <c r="I8" s="1" t="s">
        <v>77</v>
      </c>
      <c r="J8" s="41" t="s">
        <v>93</v>
      </c>
      <c r="K8" s="43" t="s">
        <v>79</v>
      </c>
      <c r="L8" s="44">
        <v>6</v>
      </c>
      <c r="M8" s="44">
        <v>5.48</v>
      </c>
      <c r="N8" s="45">
        <f>MasterFile5[[#This Row],[Cost per UoM]]/MasterFile5[[#This Row],[Quantity per UoM]]</f>
        <v>0.91333333333333344</v>
      </c>
      <c r="O8" s="1" t="s">
        <v>80</v>
      </c>
    </row>
    <row r="9" spans="1:165" ht="20.100000000000001" customHeight="1" x14ac:dyDescent="0.25">
      <c r="A9" s="1" t="s">
        <v>94</v>
      </c>
      <c r="B9" s="1" t="s">
        <v>95</v>
      </c>
      <c r="C9" s="41" t="s">
        <v>73</v>
      </c>
      <c r="D9" s="41" t="s">
        <v>86</v>
      </c>
      <c r="E9" s="42">
        <v>80</v>
      </c>
      <c r="F9" s="42">
        <v>320</v>
      </c>
      <c r="G9" s="1" t="s">
        <v>75</v>
      </c>
      <c r="H9" s="1" t="s">
        <v>96</v>
      </c>
      <c r="I9" s="1" t="s">
        <v>97</v>
      </c>
      <c r="J9" s="41" t="s">
        <v>98</v>
      </c>
      <c r="K9" s="43" t="s">
        <v>79</v>
      </c>
      <c r="L9" s="44">
        <v>72</v>
      </c>
      <c r="M9" s="44">
        <v>131.37</v>
      </c>
      <c r="N9" s="45">
        <f>MasterFile5[[#This Row],[Cost per UoM]]/MasterFile5[[#This Row],[Quantity per UoM]]</f>
        <v>1.8245833333333334</v>
      </c>
      <c r="O9" s="1" t="s">
        <v>80</v>
      </c>
    </row>
    <row r="10" spans="1:165" s="30" customFormat="1" ht="20.100000000000001" customHeight="1" x14ac:dyDescent="0.25">
      <c r="A10" s="1" t="s">
        <v>99</v>
      </c>
      <c r="B10" s="1" t="s">
        <v>100</v>
      </c>
      <c r="C10" s="41" t="s">
        <v>73</v>
      </c>
      <c r="D10" s="41" t="s">
        <v>74</v>
      </c>
      <c r="E10" s="42">
        <v>25</v>
      </c>
      <c r="F10" s="42">
        <v>100</v>
      </c>
      <c r="G10" s="1" t="s">
        <v>75</v>
      </c>
      <c r="H10" s="1" t="s">
        <v>76</v>
      </c>
      <c r="I10" s="1" t="s">
        <v>89</v>
      </c>
      <c r="J10" s="41" t="s">
        <v>101</v>
      </c>
      <c r="K10" s="43" t="s">
        <v>79</v>
      </c>
      <c r="L10" s="44">
        <v>6</v>
      </c>
      <c r="M10" s="44">
        <v>47.4</v>
      </c>
      <c r="N10" s="45">
        <f>MasterFile5[[#This Row],[Cost per UoM]]/MasterFile5[[#This Row],[Quantity per UoM]]</f>
        <v>7.8999999999999995</v>
      </c>
      <c r="O10" s="1" t="s">
        <v>80</v>
      </c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  <c r="CM10" s="46"/>
      <c r="CN10" s="46"/>
      <c r="CO10" s="46"/>
      <c r="CP10" s="46"/>
      <c r="CQ10" s="46"/>
      <c r="CR10" s="46"/>
      <c r="CS10" s="46"/>
      <c r="CT10" s="46"/>
      <c r="CU10" s="46"/>
      <c r="CV10" s="46"/>
      <c r="CW10" s="46"/>
      <c r="CX10" s="46"/>
      <c r="CY10" s="46"/>
      <c r="CZ10" s="46"/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46"/>
      <c r="DR10" s="46"/>
      <c r="DS10" s="46"/>
      <c r="DT10" s="46"/>
      <c r="DU10" s="46"/>
      <c r="DV10" s="46"/>
      <c r="DW10" s="46"/>
      <c r="DX10" s="46"/>
      <c r="DY10" s="46"/>
      <c r="DZ10" s="46"/>
      <c r="EA10" s="46"/>
      <c r="EB10" s="46"/>
      <c r="EC10" s="46"/>
      <c r="ED10" s="46"/>
      <c r="EE10" s="46"/>
      <c r="EF10" s="46"/>
      <c r="EG10" s="46"/>
      <c r="EH10" s="46"/>
      <c r="EI10" s="46"/>
      <c r="EJ10" s="46"/>
      <c r="EK10" s="46"/>
      <c r="EL10" s="46"/>
      <c r="EM10" s="46"/>
      <c r="EN10" s="46"/>
      <c r="EO10" s="46"/>
      <c r="EP10" s="46"/>
      <c r="EQ10" s="46"/>
      <c r="ER10" s="46"/>
      <c r="ES10" s="46"/>
      <c r="ET10" s="46"/>
      <c r="EU10" s="46"/>
      <c r="EV10" s="46"/>
      <c r="EW10" s="46"/>
      <c r="EX10" s="46"/>
      <c r="EY10" s="46"/>
      <c r="EZ10" s="46"/>
      <c r="FA10" s="46"/>
      <c r="FB10" s="46"/>
      <c r="FC10" s="46"/>
      <c r="FD10" s="46"/>
      <c r="FE10" s="46"/>
      <c r="FF10" s="46"/>
      <c r="FG10" s="46"/>
      <c r="FH10" s="46"/>
      <c r="FI10" s="46"/>
    </row>
    <row r="11" spans="1:165" ht="20.100000000000001" customHeight="1" x14ac:dyDescent="0.25">
      <c r="A11" s="1" t="s">
        <v>102</v>
      </c>
      <c r="B11" s="1" t="s">
        <v>103</v>
      </c>
      <c r="C11" s="41" t="s">
        <v>73</v>
      </c>
      <c r="D11" s="41" t="s">
        <v>104</v>
      </c>
      <c r="E11" s="42">
        <v>35</v>
      </c>
      <c r="F11" s="42">
        <v>140</v>
      </c>
      <c r="G11" s="1" t="s">
        <v>87</v>
      </c>
      <c r="H11" s="1" t="s">
        <v>88</v>
      </c>
      <c r="I11" s="1" t="s">
        <v>89</v>
      </c>
      <c r="J11" s="41" t="s">
        <v>105</v>
      </c>
      <c r="K11" s="43" t="s">
        <v>79</v>
      </c>
      <c r="L11" s="44">
        <v>48</v>
      </c>
      <c r="M11" s="44">
        <v>131.37</v>
      </c>
      <c r="N11" s="45">
        <f>MasterFile5[[#This Row],[Cost per UoM]]/MasterFile5[[#This Row],[Quantity per UoM]]</f>
        <v>2.7368749999999999</v>
      </c>
      <c r="O11" s="1" t="s">
        <v>80</v>
      </c>
    </row>
    <row r="12" spans="1:165" ht="20.100000000000001" customHeight="1" x14ac:dyDescent="0.25">
      <c r="A12" s="1" t="s">
        <v>106</v>
      </c>
      <c r="B12" s="1" t="s">
        <v>107</v>
      </c>
      <c r="C12" s="41" t="s">
        <v>73</v>
      </c>
      <c r="D12" s="41" t="s">
        <v>74</v>
      </c>
      <c r="E12" s="42">
        <v>20</v>
      </c>
      <c r="F12" s="42">
        <v>80</v>
      </c>
      <c r="G12" s="1" t="s">
        <v>75</v>
      </c>
      <c r="H12" s="1" t="s">
        <v>96</v>
      </c>
      <c r="I12" s="1" t="s">
        <v>77</v>
      </c>
      <c r="J12" s="41" t="s">
        <v>108</v>
      </c>
      <c r="K12" s="43" t="s">
        <v>79</v>
      </c>
      <c r="L12" s="44">
        <v>4</v>
      </c>
      <c r="M12" s="44">
        <v>10.65</v>
      </c>
      <c r="N12" s="45">
        <f>MasterFile5[[#This Row],[Cost per UoM]]/MasterFile5[[#This Row],[Quantity per UoM]]</f>
        <v>2.6625000000000001</v>
      </c>
      <c r="O12" s="1" t="s">
        <v>80</v>
      </c>
    </row>
    <row r="13" spans="1:165" ht="20.100000000000001" customHeight="1" x14ac:dyDescent="0.25">
      <c r="A13" s="1" t="s">
        <v>109</v>
      </c>
      <c r="B13" s="1" t="s">
        <v>110</v>
      </c>
      <c r="C13" s="41" t="s">
        <v>111</v>
      </c>
      <c r="D13" s="41" t="s">
        <v>112</v>
      </c>
      <c r="E13" s="42">
        <v>40</v>
      </c>
      <c r="F13" s="42">
        <v>120</v>
      </c>
      <c r="G13" s="1" t="s">
        <v>75</v>
      </c>
      <c r="H13" s="1" t="s">
        <v>113</v>
      </c>
      <c r="I13" s="1" t="s">
        <v>77</v>
      </c>
      <c r="J13" s="41" t="s">
        <v>114</v>
      </c>
      <c r="K13" s="43" t="s">
        <v>115</v>
      </c>
      <c r="L13" s="44">
        <v>144</v>
      </c>
      <c r="M13" s="44">
        <v>66.930000000000007</v>
      </c>
      <c r="N13" s="45">
        <f>MasterFile5[[#This Row],[Cost per UoM]]/MasterFile5[[#This Row],[Quantity per UoM]]</f>
        <v>0.46479166666666671</v>
      </c>
      <c r="O13" s="1" t="s">
        <v>80</v>
      </c>
    </row>
    <row r="14" spans="1:165" ht="20.100000000000001" customHeight="1" x14ac:dyDescent="0.25">
      <c r="A14" s="1" t="s">
        <v>116</v>
      </c>
      <c r="B14" s="1" t="s">
        <v>117</v>
      </c>
      <c r="C14" s="41" t="s">
        <v>111</v>
      </c>
      <c r="D14" s="41" t="s">
        <v>118</v>
      </c>
      <c r="E14" s="42">
        <v>60</v>
      </c>
      <c r="F14" s="42">
        <v>180</v>
      </c>
      <c r="G14" s="1" t="s">
        <v>87</v>
      </c>
      <c r="H14" s="1" t="s">
        <v>113</v>
      </c>
      <c r="I14" s="1" t="s">
        <v>77</v>
      </c>
      <c r="J14" s="41" t="s">
        <v>119</v>
      </c>
      <c r="K14" s="43" t="s">
        <v>115</v>
      </c>
      <c r="L14" s="44">
        <v>12</v>
      </c>
      <c r="M14" s="44">
        <v>5.58</v>
      </c>
      <c r="N14" s="45">
        <f>MasterFile5[[#This Row],[Cost per UoM]]/MasterFile5[[#This Row],[Quantity per UoM]]</f>
        <v>0.46500000000000002</v>
      </c>
      <c r="O14" s="1" t="s">
        <v>80</v>
      </c>
    </row>
    <row r="15" spans="1:165" ht="20.100000000000001" customHeight="1" x14ac:dyDescent="0.25">
      <c r="A15" s="1" t="s">
        <v>120</v>
      </c>
      <c r="B15" s="1" t="s">
        <v>121</v>
      </c>
      <c r="C15" s="41" t="s">
        <v>111</v>
      </c>
      <c r="D15" s="41" t="s">
        <v>112</v>
      </c>
      <c r="E15" s="42">
        <v>50</v>
      </c>
      <c r="F15" s="42">
        <v>150</v>
      </c>
      <c r="G15" s="1" t="s">
        <v>87</v>
      </c>
      <c r="H15" s="1" t="s">
        <v>113</v>
      </c>
      <c r="I15" s="1" t="s">
        <v>77</v>
      </c>
      <c r="J15" s="41" t="s">
        <v>122</v>
      </c>
      <c r="K15" s="43" t="s">
        <v>115</v>
      </c>
      <c r="L15" s="44">
        <v>72</v>
      </c>
      <c r="M15" s="44">
        <v>66.930000000000007</v>
      </c>
      <c r="N15" s="45">
        <f>MasterFile5[[#This Row],[Cost per UoM]]/MasterFile5[[#This Row],[Quantity per UoM]]</f>
        <v>0.92958333333333343</v>
      </c>
      <c r="O15" s="1" t="s">
        <v>80</v>
      </c>
    </row>
    <row r="16" spans="1:165" ht="20.100000000000001" customHeight="1" x14ac:dyDescent="0.25">
      <c r="A16" s="1" t="s">
        <v>123</v>
      </c>
      <c r="B16" s="1" t="s">
        <v>124</v>
      </c>
      <c r="C16" s="41" t="s">
        <v>111</v>
      </c>
      <c r="D16" s="41" t="s">
        <v>125</v>
      </c>
      <c r="E16" s="42">
        <v>20</v>
      </c>
      <c r="F16" s="42">
        <v>60</v>
      </c>
      <c r="G16" s="1" t="s">
        <v>87</v>
      </c>
      <c r="H16" s="1" t="s">
        <v>113</v>
      </c>
      <c r="I16" s="1" t="s">
        <v>89</v>
      </c>
      <c r="J16" s="41" t="s">
        <v>126</v>
      </c>
      <c r="K16" s="43" t="s">
        <v>115</v>
      </c>
      <c r="L16" s="44">
        <v>6</v>
      </c>
      <c r="M16" s="44">
        <v>5.58</v>
      </c>
      <c r="N16" s="45">
        <f>MasterFile5[[#This Row],[Cost per UoM]]/MasterFile5[[#This Row],[Quantity per UoM]]</f>
        <v>0.93</v>
      </c>
      <c r="O16" s="1" t="s">
        <v>80</v>
      </c>
    </row>
    <row r="17" spans="1:17" ht="20.100000000000001" customHeight="1" x14ac:dyDescent="0.25">
      <c r="A17" s="1" t="s">
        <v>127</v>
      </c>
      <c r="B17" s="1" t="s">
        <v>128</v>
      </c>
      <c r="C17" s="41" t="s">
        <v>111</v>
      </c>
      <c r="D17" s="41" t="s">
        <v>129</v>
      </c>
      <c r="E17" s="42">
        <v>15</v>
      </c>
      <c r="F17" s="42">
        <v>60</v>
      </c>
      <c r="G17" s="1" t="s">
        <v>87</v>
      </c>
      <c r="H17" s="1" t="s">
        <v>113</v>
      </c>
      <c r="I17" s="1" t="s">
        <v>89</v>
      </c>
      <c r="J17" s="41" t="s">
        <v>130</v>
      </c>
      <c r="K17" s="43" t="s">
        <v>131</v>
      </c>
      <c r="L17" s="44">
        <v>24</v>
      </c>
      <c r="M17" s="44">
        <v>48</v>
      </c>
      <c r="N17" s="45">
        <f>MasterFile5[[#This Row],[Cost per UoM]]/MasterFile5[[#This Row],[Quantity per UoM]]</f>
        <v>2</v>
      </c>
      <c r="O17" s="1" t="s">
        <v>80</v>
      </c>
    </row>
    <row r="18" spans="1:17" ht="20.100000000000001" customHeight="1" x14ac:dyDescent="0.25">
      <c r="A18" s="1" t="s">
        <v>132</v>
      </c>
      <c r="B18" s="1" t="s">
        <v>133</v>
      </c>
      <c r="C18" s="41" t="s">
        <v>134</v>
      </c>
      <c r="D18" s="41" t="s">
        <v>135</v>
      </c>
      <c r="E18" s="42">
        <v>500</v>
      </c>
      <c r="F18" s="42">
        <v>2000</v>
      </c>
      <c r="G18" s="1" t="s">
        <v>75</v>
      </c>
      <c r="H18" s="1" t="s">
        <v>136</v>
      </c>
      <c r="I18" s="1" t="s">
        <v>97</v>
      </c>
      <c r="J18" s="41" t="s">
        <v>137</v>
      </c>
      <c r="K18" s="43" t="s">
        <v>138</v>
      </c>
      <c r="L18" s="44">
        <v>48</v>
      </c>
      <c r="M18" s="44">
        <v>66.930000000000007</v>
      </c>
      <c r="N18" s="45">
        <f>MasterFile5[[#This Row],[Cost per UoM]]/MasterFile5[[#This Row],[Quantity per UoM]]</f>
        <v>1.3943750000000001</v>
      </c>
      <c r="O18" s="1" t="s">
        <v>80</v>
      </c>
    </row>
    <row r="19" spans="1:17" ht="20.100000000000001" customHeight="1" x14ac:dyDescent="0.25">
      <c r="A19" s="1" t="s">
        <v>139</v>
      </c>
      <c r="B19" s="1" t="s">
        <v>140</v>
      </c>
      <c r="C19" s="41" t="s">
        <v>134</v>
      </c>
      <c r="D19" s="41" t="s">
        <v>135</v>
      </c>
      <c r="E19" s="42">
        <v>400</v>
      </c>
      <c r="F19" s="42">
        <v>1600</v>
      </c>
      <c r="G19" s="1" t="s">
        <v>75</v>
      </c>
      <c r="H19" s="1" t="s">
        <v>136</v>
      </c>
      <c r="I19" s="1" t="s">
        <v>97</v>
      </c>
      <c r="J19" s="41" t="s">
        <v>141</v>
      </c>
      <c r="K19" s="43" t="s">
        <v>138</v>
      </c>
      <c r="L19" s="44">
        <v>4</v>
      </c>
      <c r="M19" s="44">
        <v>5.58</v>
      </c>
      <c r="N19" s="45">
        <f>MasterFile5[[#This Row],[Cost per UoM]]/MasterFile5[[#This Row],[Quantity per UoM]]</f>
        <v>1.395</v>
      </c>
      <c r="O19" s="1" t="s">
        <v>80</v>
      </c>
    </row>
    <row r="20" spans="1:17" ht="20.100000000000001" customHeight="1" x14ac:dyDescent="0.25">
      <c r="A20" s="1" t="s">
        <v>142</v>
      </c>
      <c r="B20" s="1" t="s">
        <v>143</v>
      </c>
      <c r="C20" s="41" t="s">
        <v>134</v>
      </c>
      <c r="D20" s="41" t="s">
        <v>135</v>
      </c>
      <c r="E20" s="42">
        <v>300</v>
      </c>
      <c r="F20" s="42">
        <v>1200</v>
      </c>
      <c r="G20" s="1" t="s">
        <v>87</v>
      </c>
      <c r="H20" s="1" t="s">
        <v>136</v>
      </c>
      <c r="I20" s="1" t="s">
        <v>97</v>
      </c>
      <c r="J20" s="41" t="s">
        <v>144</v>
      </c>
      <c r="K20" s="43" t="s">
        <v>138</v>
      </c>
      <c r="L20" s="44">
        <v>33</v>
      </c>
      <c r="M20" s="44">
        <v>46.53</v>
      </c>
      <c r="N20" s="45">
        <f>MasterFile5[[#This Row],[Cost per UoM]]/MasterFile5[[#This Row],[Quantity per UoM]]</f>
        <v>1.4100000000000001</v>
      </c>
      <c r="O20" s="1" t="s">
        <v>80</v>
      </c>
    </row>
    <row r="21" spans="1:17" ht="20.100000000000001" customHeight="1" x14ac:dyDescent="0.25">
      <c r="A21" s="1" t="s">
        <v>145</v>
      </c>
      <c r="B21" s="1" t="s">
        <v>146</v>
      </c>
      <c r="C21" s="41" t="s">
        <v>134</v>
      </c>
      <c r="D21" s="41" t="s">
        <v>147</v>
      </c>
      <c r="E21" s="42">
        <v>200</v>
      </c>
      <c r="F21" s="42">
        <v>800</v>
      </c>
      <c r="G21" s="1" t="s">
        <v>87</v>
      </c>
      <c r="H21" s="1" t="s">
        <v>148</v>
      </c>
      <c r="I21" s="1" t="s">
        <v>89</v>
      </c>
      <c r="J21" s="41" t="s">
        <v>149</v>
      </c>
      <c r="K21" s="43" t="s">
        <v>138</v>
      </c>
      <c r="L21" s="44">
        <v>33</v>
      </c>
      <c r="M21" s="44">
        <v>53.31</v>
      </c>
      <c r="N21" s="45">
        <f>MasterFile5[[#This Row],[Cost per UoM]]/MasterFile5[[#This Row],[Quantity per UoM]]</f>
        <v>1.6154545454545455</v>
      </c>
      <c r="O21" s="1" t="s">
        <v>80</v>
      </c>
    </row>
    <row r="22" spans="1:17" ht="20.100000000000001" customHeight="1" x14ac:dyDescent="0.25">
      <c r="A22" s="1" t="s">
        <v>150</v>
      </c>
      <c r="B22" s="1" t="s">
        <v>151</v>
      </c>
      <c r="C22" s="41" t="s">
        <v>134</v>
      </c>
      <c r="D22" s="41" t="s">
        <v>152</v>
      </c>
      <c r="E22" s="42">
        <v>100</v>
      </c>
      <c r="F22" s="42">
        <v>400</v>
      </c>
      <c r="G22" s="1" t="s">
        <v>75</v>
      </c>
      <c r="H22" s="1" t="s">
        <v>136</v>
      </c>
      <c r="I22" s="1" t="s">
        <v>97</v>
      </c>
      <c r="J22" s="41" t="s">
        <v>153</v>
      </c>
      <c r="K22" s="43" t="s">
        <v>138</v>
      </c>
      <c r="L22" s="44">
        <v>3000</v>
      </c>
      <c r="M22" s="44">
        <v>54.44</v>
      </c>
      <c r="N22" s="45">
        <f>MasterFile5[[#This Row],[Cost per UoM]]/MasterFile5[[#This Row],[Quantity per UoM]]</f>
        <v>1.8146666666666665E-2</v>
      </c>
      <c r="O22" s="1" t="s">
        <v>80</v>
      </c>
    </row>
    <row r="23" spans="1:17" ht="20.100000000000001" customHeight="1" x14ac:dyDescent="0.25">
      <c r="A23" s="1" t="s">
        <v>154</v>
      </c>
      <c r="B23" s="1" t="s">
        <v>155</v>
      </c>
      <c r="C23" s="41" t="s">
        <v>134</v>
      </c>
      <c r="D23" s="41" t="s">
        <v>152</v>
      </c>
      <c r="E23" s="42">
        <v>80</v>
      </c>
      <c r="F23" s="42">
        <v>320</v>
      </c>
      <c r="G23" s="1" t="s">
        <v>87</v>
      </c>
      <c r="H23" s="1" t="s">
        <v>136</v>
      </c>
      <c r="I23" s="1" t="s">
        <v>156</v>
      </c>
      <c r="J23" s="41" t="s">
        <v>157</v>
      </c>
      <c r="K23" s="43" t="s">
        <v>138</v>
      </c>
      <c r="L23" s="44">
        <v>100</v>
      </c>
      <c r="M23" s="44">
        <v>1.51</v>
      </c>
      <c r="N23" s="45">
        <f>MasterFile5[[#This Row],[Cost per UoM]]/MasterFile5[[#This Row],[Quantity per UoM]]</f>
        <v>1.5100000000000001E-2</v>
      </c>
      <c r="O23" s="1" t="s">
        <v>80</v>
      </c>
      <c r="Q23" s="47"/>
    </row>
    <row r="24" spans="1:17" ht="20.100000000000001" customHeight="1" x14ac:dyDescent="0.25">
      <c r="A24" s="1" t="s">
        <v>158</v>
      </c>
      <c r="B24" s="1" t="s">
        <v>159</v>
      </c>
      <c r="C24" s="41" t="s">
        <v>134</v>
      </c>
      <c r="D24" s="41" t="s">
        <v>152</v>
      </c>
      <c r="E24" s="42">
        <v>150</v>
      </c>
      <c r="F24" s="42">
        <v>600</v>
      </c>
      <c r="G24" s="1" t="s">
        <v>87</v>
      </c>
      <c r="H24" s="1" t="s">
        <v>136</v>
      </c>
      <c r="I24" s="1" t="s">
        <v>156</v>
      </c>
      <c r="J24" s="41" t="s">
        <v>160</v>
      </c>
      <c r="K24" s="43" t="s">
        <v>138</v>
      </c>
      <c r="L24" s="44">
        <v>2</v>
      </c>
      <c r="M24" s="44">
        <v>0.03</v>
      </c>
      <c r="N24" s="45">
        <f>MasterFile5[[#This Row],[Cost per UoM]]/MasterFile5[[#This Row],[Quantity per UoM]]</f>
        <v>1.4999999999999999E-2</v>
      </c>
      <c r="O24" s="1" t="s">
        <v>80</v>
      </c>
    </row>
    <row r="25" spans="1:17" ht="20.100000000000001" customHeight="1" x14ac:dyDescent="0.25">
      <c r="A25" s="1" t="s">
        <v>161</v>
      </c>
      <c r="B25" s="1" t="s">
        <v>162</v>
      </c>
      <c r="C25" s="41" t="s">
        <v>134</v>
      </c>
      <c r="D25" s="41" t="s">
        <v>163</v>
      </c>
      <c r="E25" s="42">
        <v>1000</v>
      </c>
      <c r="F25" s="42">
        <v>4000</v>
      </c>
      <c r="G25" s="1" t="s">
        <v>75</v>
      </c>
      <c r="H25" s="1" t="s">
        <v>136</v>
      </c>
      <c r="I25" s="1" t="s">
        <v>156</v>
      </c>
      <c r="J25" s="41" t="s">
        <v>164</v>
      </c>
      <c r="K25" s="43" t="s">
        <v>165</v>
      </c>
      <c r="L25" s="44">
        <v>1200</v>
      </c>
      <c r="M25" s="44">
        <v>60.54</v>
      </c>
      <c r="N25" s="45">
        <f>MasterFile5[[#This Row],[Cost per UoM]]/MasterFile5[[#This Row],[Quantity per UoM]]</f>
        <v>5.0450000000000002E-2</v>
      </c>
      <c r="O25" s="1" t="s">
        <v>80</v>
      </c>
    </row>
    <row r="26" spans="1:17" ht="20.100000000000001" customHeight="1" x14ac:dyDescent="0.25">
      <c r="A26" s="1" t="s">
        <v>166</v>
      </c>
      <c r="B26" s="1" t="s">
        <v>167</v>
      </c>
      <c r="C26" s="41" t="s">
        <v>134</v>
      </c>
      <c r="D26" s="41" t="s">
        <v>168</v>
      </c>
      <c r="E26" s="42">
        <v>10</v>
      </c>
      <c r="F26" s="42">
        <v>40</v>
      </c>
      <c r="G26" s="1" t="s">
        <v>75</v>
      </c>
      <c r="H26" s="1" t="s">
        <v>169</v>
      </c>
      <c r="I26" s="1" t="s">
        <v>89</v>
      </c>
      <c r="J26" s="41" t="s">
        <v>170</v>
      </c>
      <c r="K26" s="43" t="s">
        <v>171</v>
      </c>
      <c r="L26" s="44">
        <v>50</v>
      </c>
      <c r="M26" s="44">
        <v>2.1</v>
      </c>
      <c r="N26" s="45">
        <f>MasterFile5[[#This Row],[Cost per UoM]]/MasterFile5[[#This Row],[Quantity per UoM]]</f>
        <v>4.2000000000000003E-2</v>
      </c>
      <c r="O26" s="1" t="s">
        <v>80</v>
      </c>
    </row>
    <row r="27" spans="1:17" ht="20.100000000000001" customHeight="1" x14ac:dyDescent="0.25">
      <c r="A27" s="1" t="s">
        <v>172</v>
      </c>
      <c r="B27" s="1" t="s">
        <v>173</v>
      </c>
      <c r="C27" s="41" t="s">
        <v>174</v>
      </c>
      <c r="D27" s="41" t="s">
        <v>175</v>
      </c>
      <c r="E27" s="42">
        <v>2</v>
      </c>
      <c r="F27" s="42">
        <v>8</v>
      </c>
      <c r="G27" s="1" t="s">
        <v>75</v>
      </c>
      <c r="H27" s="1" t="s">
        <v>176</v>
      </c>
      <c r="I27" s="1" t="s">
        <v>77</v>
      </c>
      <c r="J27" s="41" t="s">
        <v>177</v>
      </c>
      <c r="K27" s="43" t="s">
        <v>178</v>
      </c>
      <c r="L27" s="44">
        <v>2</v>
      </c>
      <c r="M27" s="44">
        <v>0.21</v>
      </c>
      <c r="N27" s="45">
        <f>MasterFile5[[#This Row],[Cost per UoM]]/MasterFile5[[#This Row],[Quantity per UoM]]</f>
        <v>0.105</v>
      </c>
      <c r="O27" s="1" t="s">
        <v>80</v>
      </c>
    </row>
    <row r="28" spans="1:17" ht="20.100000000000001" customHeight="1" x14ac:dyDescent="0.25">
      <c r="A28" s="1" t="s">
        <v>179</v>
      </c>
      <c r="B28" s="1" t="s">
        <v>180</v>
      </c>
      <c r="C28" s="41" t="s">
        <v>174</v>
      </c>
      <c r="D28" s="41" t="s">
        <v>181</v>
      </c>
      <c r="E28" s="42">
        <v>4</v>
      </c>
      <c r="F28" s="42">
        <v>16</v>
      </c>
      <c r="G28" s="1" t="s">
        <v>87</v>
      </c>
      <c r="H28" s="1" t="s">
        <v>182</v>
      </c>
      <c r="I28" s="1" t="s">
        <v>77</v>
      </c>
      <c r="J28" s="41" t="s">
        <v>183</v>
      </c>
      <c r="K28" s="43" t="s">
        <v>138</v>
      </c>
      <c r="L28" s="44">
        <v>150</v>
      </c>
      <c r="M28" s="44">
        <v>68.760000000000005</v>
      </c>
      <c r="N28" s="45">
        <f>MasterFile5[[#This Row],[Cost per UoM]]/MasterFile5[[#This Row],[Quantity per UoM]]</f>
        <v>0.45840000000000003</v>
      </c>
      <c r="O28" s="1" t="s">
        <v>80</v>
      </c>
    </row>
    <row r="29" spans="1:17" ht="20.100000000000001" customHeight="1" x14ac:dyDescent="0.25">
      <c r="A29" s="1" t="s">
        <v>184</v>
      </c>
      <c r="B29" s="1" t="s">
        <v>185</v>
      </c>
      <c r="C29" s="41" t="s">
        <v>174</v>
      </c>
      <c r="D29" s="41" t="s">
        <v>181</v>
      </c>
      <c r="E29" s="42">
        <v>10</v>
      </c>
      <c r="F29" s="42">
        <v>40</v>
      </c>
      <c r="G29" s="1" t="s">
        <v>87</v>
      </c>
      <c r="H29" s="1" t="s">
        <v>182</v>
      </c>
      <c r="I29" s="1" t="s">
        <v>97</v>
      </c>
      <c r="J29" s="41" t="s">
        <v>186</v>
      </c>
      <c r="K29" s="43" t="s">
        <v>138</v>
      </c>
      <c r="L29" s="44">
        <v>15</v>
      </c>
      <c r="M29" s="44">
        <v>7.5</v>
      </c>
      <c r="N29" s="45">
        <f>MasterFile5[[#This Row],[Cost per UoM]]/MasterFile5[[#This Row],[Quantity per UoM]]</f>
        <v>0.5</v>
      </c>
      <c r="O29" s="1" t="s">
        <v>80</v>
      </c>
    </row>
    <row r="30" spans="1:17" ht="20.100000000000001" customHeight="1" x14ac:dyDescent="0.25">
      <c r="A30" s="1" t="s">
        <v>187</v>
      </c>
      <c r="B30" s="1" t="s">
        <v>188</v>
      </c>
      <c r="C30" s="41" t="s">
        <v>174</v>
      </c>
      <c r="D30" s="41" t="s">
        <v>189</v>
      </c>
      <c r="E30" s="42">
        <v>3</v>
      </c>
      <c r="F30" s="42">
        <v>12</v>
      </c>
      <c r="G30" s="1" t="s">
        <v>87</v>
      </c>
      <c r="H30" s="1" t="s">
        <v>182</v>
      </c>
      <c r="I30" s="1" t="s">
        <v>156</v>
      </c>
      <c r="J30" s="41" t="s">
        <v>190</v>
      </c>
      <c r="K30" s="43" t="s">
        <v>138</v>
      </c>
      <c r="L30" s="44">
        <v>1200</v>
      </c>
      <c r="M30" s="44">
        <v>35.79</v>
      </c>
      <c r="N30" s="45">
        <f>MasterFile5[[#This Row],[Cost per UoM]]/MasterFile5[[#This Row],[Quantity per UoM]]</f>
        <v>2.9825000000000001E-2</v>
      </c>
      <c r="O30" s="1" t="s">
        <v>80</v>
      </c>
    </row>
    <row r="31" spans="1:17" ht="20.100000000000001" customHeight="1" x14ac:dyDescent="0.25">
      <c r="A31" s="1" t="s">
        <v>191</v>
      </c>
      <c r="B31" s="1" t="s">
        <v>192</v>
      </c>
      <c r="C31" s="41" t="s">
        <v>174</v>
      </c>
      <c r="D31" s="41" t="s">
        <v>189</v>
      </c>
      <c r="E31" s="42">
        <v>4</v>
      </c>
      <c r="F31" s="42">
        <v>16</v>
      </c>
      <c r="G31" s="1" t="s">
        <v>75</v>
      </c>
      <c r="H31" s="1" t="s">
        <v>176</v>
      </c>
      <c r="I31" s="1" t="s">
        <v>77</v>
      </c>
      <c r="J31" s="41" t="s">
        <v>193</v>
      </c>
      <c r="K31" s="43" t="s">
        <v>138</v>
      </c>
      <c r="L31" s="44">
        <v>1200</v>
      </c>
      <c r="M31" s="44">
        <v>122.43</v>
      </c>
      <c r="N31" s="45">
        <f>MasterFile5[[#This Row],[Cost per UoM]]/MasterFile5[[#This Row],[Quantity per UoM]]</f>
        <v>0.102025</v>
      </c>
      <c r="O31" s="1" t="s">
        <v>80</v>
      </c>
    </row>
    <row r="32" spans="1:17" ht="20.100000000000001" customHeight="1" x14ac:dyDescent="0.25">
      <c r="A32" s="1" t="s">
        <v>194</v>
      </c>
      <c r="B32" s="1" t="s">
        <v>195</v>
      </c>
      <c r="C32" s="41" t="s">
        <v>174</v>
      </c>
      <c r="D32" s="41" t="s">
        <v>134</v>
      </c>
      <c r="E32" s="42">
        <v>5</v>
      </c>
      <c r="F32" s="42">
        <v>20</v>
      </c>
      <c r="G32" s="1" t="s">
        <v>75</v>
      </c>
      <c r="H32" s="1" t="s">
        <v>196</v>
      </c>
      <c r="I32" s="1" t="s">
        <v>89</v>
      </c>
      <c r="J32" s="41" t="s">
        <v>197</v>
      </c>
      <c r="K32" s="43" t="s">
        <v>198</v>
      </c>
      <c r="L32" s="44">
        <v>50</v>
      </c>
      <c r="M32" s="44">
        <v>5.42</v>
      </c>
      <c r="N32" s="45">
        <f>MasterFile5[[#This Row],[Cost per UoM]]/MasterFile5[[#This Row],[Quantity per UoM]]</f>
        <v>0.1084</v>
      </c>
      <c r="O32" s="1" t="s">
        <v>80</v>
      </c>
    </row>
    <row r="33" spans="1:15" ht="20.100000000000001" customHeight="1" x14ac:dyDescent="0.25">
      <c r="A33" s="1" t="s">
        <v>199</v>
      </c>
      <c r="B33" s="1" t="s">
        <v>200</v>
      </c>
      <c r="C33" s="41" t="s">
        <v>174</v>
      </c>
      <c r="D33" s="41" t="s">
        <v>201</v>
      </c>
      <c r="E33" s="42">
        <v>2</v>
      </c>
      <c r="F33" s="42">
        <v>8</v>
      </c>
      <c r="G33" s="1" t="s">
        <v>75</v>
      </c>
      <c r="H33" s="1" t="s">
        <v>176</v>
      </c>
      <c r="I33" s="1" t="s">
        <v>156</v>
      </c>
      <c r="J33" s="41" t="s">
        <v>202</v>
      </c>
      <c r="K33" s="43" t="s">
        <v>178</v>
      </c>
      <c r="L33" s="44">
        <v>100</v>
      </c>
      <c r="M33" s="44">
        <v>10.02</v>
      </c>
      <c r="N33" s="45">
        <f>MasterFile5[[#This Row],[Cost per UoM]]/MasterFile5[[#This Row],[Quantity per UoM]]</f>
        <v>0.1002</v>
      </c>
      <c r="O33" s="1" t="s">
        <v>80</v>
      </c>
    </row>
    <row r="34" spans="1:15" ht="20.100000000000001" customHeight="1" x14ac:dyDescent="0.25">
      <c r="A34" s="1" t="s">
        <v>203</v>
      </c>
      <c r="B34" s="1" t="s">
        <v>204</v>
      </c>
      <c r="C34" s="41" t="s">
        <v>205</v>
      </c>
      <c r="D34" s="41" t="s">
        <v>206</v>
      </c>
      <c r="E34" s="42">
        <v>30</v>
      </c>
      <c r="F34" s="42">
        <v>120</v>
      </c>
      <c r="G34" s="1" t="s">
        <v>87</v>
      </c>
      <c r="H34" s="1" t="s">
        <v>136</v>
      </c>
      <c r="I34" s="1" t="s">
        <v>89</v>
      </c>
      <c r="J34" s="41" t="s">
        <v>207</v>
      </c>
      <c r="K34" s="43" t="s">
        <v>138</v>
      </c>
      <c r="L34" s="44">
        <v>2400</v>
      </c>
      <c r="M34" s="44">
        <v>72.790000000000006</v>
      </c>
      <c r="N34" s="45">
        <f>MasterFile5[[#This Row],[Cost per UoM]]/MasterFile5[[#This Row],[Quantity per UoM]]</f>
        <v>3.0329166666666671E-2</v>
      </c>
      <c r="O34" s="1" t="s">
        <v>80</v>
      </c>
    </row>
    <row r="35" spans="1:15" ht="20.100000000000001" customHeight="1" x14ac:dyDescent="0.25">
      <c r="A35" s="1" t="s">
        <v>208</v>
      </c>
      <c r="B35" s="1" t="s">
        <v>209</v>
      </c>
      <c r="C35" s="41" t="s">
        <v>205</v>
      </c>
      <c r="D35" s="41" t="s">
        <v>210</v>
      </c>
      <c r="E35" s="42">
        <v>24</v>
      </c>
      <c r="F35" s="42">
        <v>96</v>
      </c>
      <c r="G35" s="1" t="s">
        <v>87</v>
      </c>
      <c r="H35" s="1" t="s">
        <v>96</v>
      </c>
      <c r="I35" s="1" t="s">
        <v>89</v>
      </c>
      <c r="J35" s="41" t="s">
        <v>211</v>
      </c>
      <c r="K35" s="43" t="s">
        <v>138</v>
      </c>
      <c r="L35" s="44">
        <v>100</v>
      </c>
      <c r="M35" s="44">
        <v>3.03</v>
      </c>
      <c r="N35" s="45">
        <f>MasterFile5[[#This Row],[Cost per UoM]]/MasterFile5[[#This Row],[Quantity per UoM]]</f>
        <v>3.0299999999999997E-2</v>
      </c>
      <c r="O35" s="1" t="s">
        <v>80</v>
      </c>
    </row>
    <row r="36" spans="1:15" ht="20.100000000000001" customHeight="1" x14ac:dyDescent="0.25">
      <c r="A36" s="1" t="s">
        <v>212</v>
      </c>
      <c r="B36" s="1" t="s">
        <v>213</v>
      </c>
      <c r="C36" s="41" t="s">
        <v>205</v>
      </c>
      <c r="D36" s="41" t="s">
        <v>214</v>
      </c>
      <c r="E36" s="42">
        <v>8</v>
      </c>
      <c r="F36" s="42">
        <v>32</v>
      </c>
      <c r="G36" s="1" t="s">
        <v>87</v>
      </c>
      <c r="H36" s="1" t="s">
        <v>182</v>
      </c>
      <c r="I36" s="1" t="s">
        <v>156</v>
      </c>
      <c r="J36" s="41" t="s">
        <v>215</v>
      </c>
      <c r="K36" s="43" t="s">
        <v>138</v>
      </c>
      <c r="L36" s="44">
        <v>1200</v>
      </c>
      <c r="M36" s="44">
        <v>25.08</v>
      </c>
      <c r="N36" s="45">
        <f>MasterFile5[[#This Row],[Cost per UoM]]/MasterFile5[[#This Row],[Quantity per UoM]]</f>
        <v>2.0899999999999998E-2</v>
      </c>
      <c r="O36" s="1" t="s">
        <v>80</v>
      </c>
    </row>
    <row r="37" spans="1:15" ht="20.100000000000001" customHeight="1" x14ac:dyDescent="0.25">
      <c r="A37" s="1" t="s">
        <v>216</v>
      </c>
      <c r="B37" s="1" t="s">
        <v>217</v>
      </c>
      <c r="C37" s="41" t="s">
        <v>205</v>
      </c>
      <c r="D37" s="41" t="s">
        <v>214</v>
      </c>
      <c r="E37" s="42">
        <v>10</v>
      </c>
      <c r="F37" s="42">
        <v>40</v>
      </c>
      <c r="G37" s="1" t="s">
        <v>75</v>
      </c>
      <c r="H37" s="1" t="s">
        <v>182</v>
      </c>
      <c r="I37" s="1" t="s">
        <v>156</v>
      </c>
      <c r="J37" s="41" t="s">
        <v>218</v>
      </c>
      <c r="K37" s="43" t="s">
        <v>138</v>
      </c>
      <c r="L37" s="44">
        <v>100</v>
      </c>
      <c r="M37" s="44">
        <v>2.09</v>
      </c>
      <c r="N37" s="45">
        <f>MasterFile5[[#This Row],[Cost per UoM]]/MasterFile5[[#This Row],[Quantity per UoM]]</f>
        <v>2.0899999999999998E-2</v>
      </c>
      <c r="O37" s="1" t="s">
        <v>80</v>
      </c>
    </row>
    <row r="38" spans="1:15" ht="20.100000000000001" customHeight="1" x14ac:dyDescent="0.25">
      <c r="A38" s="1" t="s">
        <v>219</v>
      </c>
      <c r="B38" s="1" t="s">
        <v>220</v>
      </c>
      <c r="C38" s="41" t="s">
        <v>205</v>
      </c>
      <c r="D38" s="41" t="s">
        <v>221</v>
      </c>
      <c r="E38" s="42">
        <v>20</v>
      </c>
      <c r="F38" s="42">
        <v>80</v>
      </c>
      <c r="G38" s="1" t="s">
        <v>75</v>
      </c>
      <c r="H38" s="1" t="s">
        <v>182</v>
      </c>
      <c r="I38" s="1" t="s">
        <v>97</v>
      </c>
      <c r="J38" s="41" t="s">
        <v>222</v>
      </c>
      <c r="K38" s="43" t="s">
        <v>198</v>
      </c>
      <c r="L38" s="44">
        <v>1200</v>
      </c>
      <c r="M38" s="44">
        <v>24.91</v>
      </c>
      <c r="N38" s="45">
        <f>MasterFile5[[#This Row],[Cost per UoM]]/MasterFile5[[#This Row],[Quantity per UoM]]</f>
        <v>2.0758333333333333E-2</v>
      </c>
      <c r="O38" s="1" t="s">
        <v>80</v>
      </c>
    </row>
    <row r="39" spans="1:15" ht="20.100000000000001" customHeight="1" x14ac:dyDescent="0.25">
      <c r="A39" s="1" t="s">
        <v>223</v>
      </c>
      <c r="B39" s="1" t="s">
        <v>224</v>
      </c>
      <c r="C39" s="41" t="s">
        <v>205</v>
      </c>
      <c r="D39" s="41" t="s">
        <v>221</v>
      </c>
      <c r="E39" s="42">
        <v>15</v>
      </c>
      <c r="F39" s="42">
        <v>60</v>
      </c>
      <c r="G39" s="1" t="s">
        <v>75</v>
      </c>
      <c r="H39" s="1" t="s">
        <v>182</v>
      </c>
      <c r="I39" s="1" t="s">
        <v>97</v>
      </c>
      <c r="J39" s="41" t="s">
        <v>225</v>
      </c>
      <c r="K39" s="43" t="s">
        <v>198</v>
      </c>
      <c r="L39" s="44">
        <v>1000</v>
      </c>
      <c r="M39" s="44">
        <v>27.1</v>
      </c>
      <c r="N39" s="45">
        <f>MasterFile5[[#This Row],[Cost per UoM]]/MasterFile5[[#This Row],[Quantity per UoM]]</f>
        <v>2.7100000000000003E-2</v>
      </c>
      <c r="O39" s="1" t="s">
        <v>80</v>
      </c>
    </row>
    <row r="40" spans="1:15" ht="20.100000000000001" customHeight="1" x14ac:dyDescent="0.25">
      <c r="A40" s="1" t="s">
        <v>226</v>
      </c>
      <c r="B40" s="1" t="s">
        <v>227</v>
      </c>
      <c r="C40" s="41" t="s">
        <v>205</v>
      </c>
      <c r="D40" s="41" t="s">
        <v>214</v>
      </c>
      <c r="E40" s="42">
        <v>6</v>
      </c>
      <c r="F40" s="42">
        <v>24</v>
      </c>
      <c r="G40" s="1" t="s">
        <v>87</v>
      </c>
      <c r="H40" s="1" t="s">
        <v>182</v>
      </c>
      <c r="I40" s="1" t="s">
        <v>156</v>
      </c>
      <c r="J40" s="41" t="s">
        <v>228</v>
      </c>
      <c r="K40" s="43" t="s">
        <v>138</v>
      </c>
      <c r="L40" s="44">
        <v>100</v>
      </c>
      <c r="M40" s="44">
        <v>3.25</v>
      </c>
      <c r="N40" s="45">
        <f>MasterFile5[[#This Row],[Cost per UoM]]/MasterFile5[[#This Row],[Quantity per UoM]]</f>
        <v>3.2500000000000001E-2</v>
      </c>
      <c r="O40" s="1" t="s">
        <v>80</v>
      </c>
    </row>
    <row r="41" spans="1:15" ht="20.100000000000001" customHeight="1" x14ac:dyDescent="0.25">
      <c r="A41" s="1" t="s">
        <v>229</v>
      </c>
      <c r="B41" s="1" t="s">
        <v>230</v>
      </c>
      <c r="C41" s="41" t="s">
        <v>205</v>
      </c>
      <c r="D41" s="41" t="s">
        <v>231</v>
      </c>
      <c r="E41" s="42">
        <v>4</v>
      </c>
      <c r="F41" s="42">
        <v>16</v>
      </c>
      <c r="G41" s="1" t="s">
        <v>75</v>
      </c>
      <c r="H41" s="1" t="s">
        <v>176</v>
      </c>
      <c r="I41" s="1" t="s">
        <v>77</v>
      </c>
      <c r="J41" s="41" t="s">
        <v>232</v>
      </c>
      <c r="K41" s="43" t="s">
        <v>138</v>
      </c>
      <c r="L41" s="44">
        <v>2160</v>
      </c>
      <c r="M41" s="44">
        <v>840.4</v>
      </c>
      <c r="N41" s="45">
        <f>MasterFile5[[#This Row],[Cost per UoM]]/MasterFile5[[#This Row],[Quantity per UoM]]</f>
        <v>0.38907407407407407</v>
      </c>
      <c r="O41" s="1" t="s">
        <v>80</v>
      </c>
    </row>
    <row r="42" spans="1:15" ht="20.100000000000001" customHeight="1" x14ac:dyDescent="0.25">
      <c r="A42" s="1" t="s">
        <v>233</v>
      </c>
      <c r="B42" s="1" t="s">
        <v>234</v>
      </c>
      <c r="C42" s="41" t="s">
        <v>205</v>
      </c>
      <c r="D42" s="41" t="s">
        <v>235</v>
      </c>
      <c r="E42" s="42">
        <v>10</v>
      </c>
      <c r="F42" s="42">
        <v>40</v>
      </c>
      <c r="G42" s="1" t="s">
        <v>87</v>
      </c>
      <c r="H42" s="1" t="s">
        <v>113</v>
      </c>
      <c r="I42" s="1" t="s">
        <v>89</v>
      </c>
      <c r="J42" s="41" t="s">
        <v>236</v>
      </c>
      <c r="K42" s="43" t="s">
        <v>138</v>
      </c>
      <c r="L42" s="44">
        <v>270</v>
      </c>
      <c r="M42" s="44">
        <v>105.05</v>
      </c>
      <c r="N42" s="45">
        <f>MasterFile5[[#This Row],[Cost per UoM]]/MasterFile5[[#This Row],[Quantity per UoM]]</f>
        <v>0.38907407407407407</v>
      </c>
      <c r="O42" s="1" t="s">
        <v>80</v>
      </c>
    </row>
    <row r="43" spans="1:15" ht="20.100000000000001" customHeight="1" x14ac:dyDescent="0.25">
      <c r="A43" s="1" t="s">
        <v>237</v>
      </c>
      <c r="B43" s="1" t="s">
        <v>238</v>
      </c>
      <c r="C43" s="41" t="s">
        <v>239</v>
      </c>
      <c r="D43" s="41" t="s">
        <v>181</v>
      </c>
      <c r="E43" s="42">
        <v>3</v>
      </c>
      <c r="F43" s="42">
        <v>12</v>
      </c>
      <c r="G43" s="1" t="s">
        <v>87</v>
      </c>
      <c r="H43" s="1" t="s">
        <v>196</v>
      </c>
      <c r="I43" s="1" t="s">
        <v>97</v>
      </c>
      <c r="J43" s="41" t="s">
        <v>240</v>
      </c>
      <c r="K43" s="43" t="s">
        <v>79</v>
      </c>
      <c r="L43" s="44">
        <v>480</v>
      </c>
      <c r="M43" s="44">
        <v>339.2</v>
      </c>
      <c r="N43" s="45">
        <f>MasterFile5[[#This Row],[Cost per UoM]]/MasterFile5[[#This Row],[Quantity per UoM]]</f>
        <v>0.70666666666666667</v>
      </c>
      <c r="O43" s="1" t="s">
        <v>80</v>
      </c>
    </row>
    <row r="44" spans="1:15" ht="20.100000000000001" customHeight="1" x14ac:dyDescent="0.25">
      <c r="A44" s="1" t="s">
        <v>241</v>
      </c>
      <c r="B44" s="1" t="s">
        <v>242</v>
      </c>
      <c r="C44" s="41" t="s">
        <v>239</v>
      </c>
      <c r="D44" s="41" t="s">
        <v>243</v>
      </c>
      <c r="E44" s="42">
        <v>4</v>
      </c>
      <c r="F44" s="42">
        <v>16</v>
      </c>
      <c r="G44" s="1" t="s">
        <v>75</v>
      </c>
      <c r="H44" s="1" t="s">
        <v>196</v>
      </c>
      <c r="I44" s="1" t="s">
        <v>97</v>
      </c>
      <c r="J44" s="41" t="s">
        <v>244</v>
      </c>
      <c r="K44" s="43" t="s">
        <v>131</v>
      </c>
      <c r="L44" s="44">
        <v>48</v>
      </c>
      <c r="M44" s="44">
        <v>33.92</v>
      </c>
      <c r="N44" s="45">
        <f>MasterFile5[[#This Row],[Cost per UoM]]/MasterFile5[[#This Row],[Quantity per UoM]]</f>
        <v>0.70666666666666667</v>
      </c>
      <c r="O44" s="1" t="s">
        <v>80</v>
      </c>
    </row>
    <row r="45" spans="1:15" ht="20.100000000000001" customHeight="1" x14ac:dyDescent="0.25">
      <c r="A45" s="1" t="s">
        <v>245</v>
      </c>
      <c r="B45" s="1" t="s">
        <v>246</v>
      </c>
      <c r="C45" s="41" t="s">
        <v>239</v>
      </c>
      <c r="D45" s="41" t="s">
        <v>175</v>
      </c>
      <c r="E45" s="42">
        <v>6</v>
      </c>
      <c r="F45" s="42">
        <v>24</v>
      </c>
      <c r="G45" s="1" t="s">
        <v>75</v>
      </c>
      <c r="H45" s="1" t="s">
        <v>196</v>
      </c>
      <c r="I45" s="1" t="s">
        <v>97</v>
      </c>
      <c r="J45" s="41" t="s">
        <v>247</v>
      </c>
      <c r="K45" s="43" t="s">
        <v>198</v>
      </c>
      <c r="L45" s="44">
        <v>30</v>
      </c>
      <c r="M45" s="44">
        <v>7.98</v>
      </c>
      <c r="N45" s="45">
        <f>MasterFile5[[#This Row],[Cost per UoM]]/MasterFile5[[#This Row],[Quantity per UoM]]</f>
        <v>0.26600000000000001</v>
      </c>
      <c r="O45" s="1" t="s">
        <v>80</v>
      </c>
    </row>
    <row r="46" spans="1:15" ht="20.100000000000001" customHeight="1" x14ac:dyDescent="0.25">
      <c r="A46" s="1" t="s">
        <v>248</v>
      </c>
      <c r="B46" s="1" t="s">
        <v>249</v>
      </c>
      <c r="C46" s="41" t="s">
        <v>239</v>
      </c>
      <c r="D46" s="41" t="s">
        <v>250</v>
      </c>
      <c r="E46" s="42">
        <v>8</v>
      </c>
      <c r="F46" s="42">
        <v>32</v>
      </c>
      <c r="G46" s="1" t="s">
        <v>87</v>
      </c>
      <c r="H46" s="1" t="s">
        <v>196</v>
      </c>
      <c r="I46" s="1" t="s">
        <v>156</v>
      </c>
      <c r="J46" s="41" t="s">
        <v>251</v>
      </c>
      <c r="K46" s="43" t="s">
        <v>131</v>
      </c>
      <c r="L46" s="44">
        <v>1000</v>
      </c>
      <c r="M46" s="44">
        <v>364.04</v>
      </c>
      <c r="N46" s="45">
        <f>MasterFile5[[#This Row],[Cost per UoM]]/MasterFile5[[#This Row],[Quantity per UoM]]</f>
        <v>0.36404000000000003</v>
      </c>
      <c r="O46" s="1" t="s">
        <v>80</v>
      </c>
    </row>
    <row r="47" spans="1:15" ht="20.100000000000001" customHeight="1" x14ac:dyDescent="0.25">
      <c r="A47" s="1" t="s">
        <v>252</v>
      </c>
      <c r="B47" s="1" t="s">
        <v>253</v>
      </c>
      <c r="C47" s="41" t="s">
        <v>239</v>
      </c>
      <c r="D47" s="41" t="s">
        <v>250</v>
      </c>
      <c r="E47" s="42">
        <v>10</v>
      </c>
      <c r="F47" s="42">
        <v>40</v>
      </c>
      <c r="G47" s="1" t="s">
        <v>87</v>
      </c>
      <c r="H47" s="1" t="s">
        <v>96</v>
      </c>
      <c r="I47" s="1" t="s">
        <v>156</v>
      </c>
      <c r="J47" s="41" t="s">
        <v>254</v>
      </c>
      <c r="K47" s="43" t="s">
        <v>255</v>
      </c>
      <c r="L47" s="44">
        <v>100</v>
      </c>
      <c r="M47" s="44">
        <v>97.14</v>
      </c>
      <c r="N47" s="45">
        <f>MasterFile5[[#This Row],[Cost per UoM]]/MasterFile5[[#This Row],[Quantity per UoM]]</f>
        <v>0.97140000000000004</v>
      </c>
      <c r="O47" s="1" t="s">
        <v>80</v>
      </c>
    </row>
    <row r="48" spans="1:15" ht="20.100000000000001" customHeight="1" x14ac:dyDescent="0.25">
      <c r="A48" s="1" t="s">
        <v>256</v>
      </c>
      <c r="B48" s="1" t="s">
        <v>257</v>
      </c>
      <c r="C48" s="41" t="s">
        <v>239</v>
      </c>
      <c r="D48" s="41" t="s">
        <v>258</v>
      </c>
      <c r="E48" s="42">
        <v>5</v>
      </c>
      <c r="F48" s="42">
        <v>20</v>
      </c>
      <c r="G48" s="1" t="s">
        <v>87</v>
      </c>
      <c r="H48" s="1" t="s">
        <v>196</v>
      </c>
      <c r="I48" s="1" t="s">
        <v>89</v>
      </c>
      <c r="J48" s="41" t="s">
        <v>259</v>
      </c>
      <c r="K48" s="43" t="s">
        <v>131</v>
      </c>
      <c r="L48" s="44">
        <v>200</v>
      </c>
      <c r="M48" s="44">
        <v>192.76</v>
      </c>
      <c r="N48" s="45">
        <f>MasterFile5[[#This Row],[Cost per UoM]]/MasterFile5[[#This Row],[Quantity per UoM]]</f>
        <v>0.96379999999999999</v>
      </c>
      <c r="O48" s="1" t="s">
        <v>80</v>
      </c>
    </row>
    <row r="49" spans="1:15" ht="20.100000000000001" customHeight="1" x14ac:dyDescent="0.25">
      <c r="A49" s="1" t="s">
        <v>260</v>
      </c>
      <c r="B49" s="1" t="s">
        <v>261</v>
      </c>
      <c r="C49" s="41" t="s">
        <v>239</v>
      </c>
      <c r="D49" s="41" t="s">
        <v>181</v>
      </c>
      <c r="E49" s="42">
        <v>8</v>
      </c>
      <c r="F49" s="42">
        <v>32</v>
      </c>
      <c r="G49" s="1" t="s">
        <v>75</v>
      </c>
      <c r="H49" s="1" t="s">
        <v>196</v>
      </c>
      <c r="I49" s="1" t="s">
        <v>156</v>
      </c>
      <c r="J49" s="41" t="s">
        <v>262</v>
      </c>
      <c r="K49" s="43" t="s">
        <v>138</v>
      </c>
      <c r="L49" s="44">
        <v>50</v>
      </c>
      <c r="M49" s="44">
        <v>48.19</v>
      </c>
      <c r="N49" s="45">
        <f>MasterFile5[[#This Row],[Cost per UoM]]/MasterFile5[[#This Row],[Quantity per UoM]]</f>
        <v>0.96379999999999999</v>
      </c>
      <c r="O49" s="1" t="s">
        <v>80</v>
      </c>
    </row>
    <row r="50" spans="1:15" ht="20.100000000000001" customHeight="1" x14ac:dyDescent="0.25">
      <c r="A50" s="1" t="s">
        <v>263</v>
      </c>
      <c r="B50" s="1" t="s">
        <v>264</v>
      </c>
      <c r="C50" s="41" t="s">
        <v>265</v>
      </c>
      <c r="D50" s="41" t="s">
        <v>266</v>
      </c>
      <c r="E50" s="42">
        <v>6</v>
      </c>
      <c r="F50" s="42">
        <v>24</v>
      </c>
      <c r="G50" s="1" t="s">
        <v>267</v>
      </c>
      <c r="H50" s="1" t="s">
        <v>268</v>
      </c>
      <c r="I50" s="1" t="s">
        <v>97</v>
      </c>
      <c r="J50" s="41" t="s">
        <v>269</v>
      </c>
      <c r="K50" s="43" t="s">
        <v>270</v>
      </c>
      <c r="L50" s="44">
        <v>1</v>
      </c>
      <c r="M50" s="44">
        <v>89.5</v>
      </c>
      <c r="N50" s="45">
        <f>MasterFile5[[#This Row],[Cost per UoM]]/MasterFile5[[#This Row],[Quantity per UoM]]</f>
        <v>89.5</v>
      </c>
      <c r="O50" s="1" t="s">
        <v>271</v>
      </c>
    </row>
    <row r="51" spans="1:15" ht="20.100000000000001" customHeight="1" x14ac:dyDescent="0.25">
      <c r="A51" s="1" t="s">
        <v>272</v>
      </c>
      <c r="B51" s="1" t="s">
        <v>273</v>
      </c>
      <c r="C51" s="41" t="s">
        <v>265</v>
      </c>
      <c r="D51" s="41" t="s">
        <v>274</v>
      </c>
      <c r="E51" s="42">
        <v>2</v>
      </c>
      <c r="F51" s="42">
        <v>8</v>
      </c>
      <c r="G51" s="1" t="s">
        <v>267</v>
      </c>
      <c r="H51" s="1" t="s">
        <v>268</v>
      </c>
      <c r="I51" s="1" t="s">
        <v>77</v>
      </c>
      <c r="J51" s="41" t="s">
        <v>275</v>
      </c>
      <c r="K51" s="43" t="s">
        <v>276</v>
      </c>
      <c r="L51" s="44">
        <v>1</v>
      </c>
      <c r="M51" s="44">
        <v>312</v>
      </c>
      <c r="N51" s="45">
        <f>MasterFile5[[#This Row],[Cost per UoM]]/MasterFile5[[#This Row],[Quantity per UoM]]</f>
        <v>312</v>
      </c>
      <c r="O51" s="1" t="s">
        <v>271</v>
      </c>
    </row>
    <row r="52" spans="1:15" ht="20.100000000000001" customHeight="1" x14ac:dyDescent="0.25">
      <c r="A52" s="1" t="s">
        <v>277</v>
      </c>
      <c r="B52" s="1" t="s">
        <v>278</v>
      </c>
      <c r="C52" s="41" t="s">
        <v>265</v>
      </c>
      <c r="D52" s="41" t="s">
        <v>279</v>
      </c>
      <c r="E52" s="42">
        <v>10</v>
      </c>
      <c r="F52" s="42">
        <v>40</v>
      </c>
      <c r="G52" s="1" t="s">
        <v>267</v>
      </c>
      <c r="H52" s="1" t="s">
        <v>268</v>
      </c>
      <c r="I52" s="1" t="s">
        <v>156</v>
      </c>
      <c r="J52" s="41" t="s">
        <v>280</v>
      </c>
      <c r="K52" s="43" t="s">
        <v>281</v>
      </c>
      <c r="L52" s="44">
        <v>4</v>
      </c>
      <c r="M52" s="44">
        <v>56</v>
      </c>
      <c r="N52" s="45">
        <f>MasterFile5[[#This Row],[Cost per UoM]]/MasterFile5[[#This Row],[Quantity per UoM]]</f>
        <v>14</v>
      </c>
      <c r="O52" s="1" t="s">
        <v>271</v>
      </c>
    </row>
    <row r="53" spans="1:15" ht="20.100000000000001" customHeight="1" x14ac:dyDescent="0.25">
      <c r="A53" s="1" t="s">
        <v>282</v>
      </c>
      <c r="B53" s="1" t="s">
        <v>283</v>
      </c>
      <c r="C53" s="41" t="s">
        <v>265</v>
      </c>
      <c r="D53" s="41" t="s">
        <v>284</v>
      </c>
      <c r="E53" s="42">
        <v>15</v>
      </c>
      <c r="F53" s="42">
        <v>60</v>
      </c>
      <c r="G53" s="1" t="s">
        <v>285</v>
      </c>
      <c r="H53" s="1" t="s">
        <v>268</v>
      </c>
      <c r="I53" s="1" t="s">
        <v>156</v>
      </c>
      <c r="J53" s="41" t="s">
        <v>286</v>
      </c>
      <c r="K53" s="43" t="s">
        <v>281</v>
      </c>
      <c r="L53" s="44">
        <v>4</v>
      </c>
      <c r="M53" s="44">
        <v>48</v>
      </c>
      <c r="N53" s="45">
        <f>MasterFile5[[#This Row],[Cost per UoM]]/MasterFile5[[#This Row],[Quantity per UoM]]</f>
        <v>12</v>
      </c>
      <c r="O53" s="1" t="s">
        <v>271</v>
      </c>
    </row>
    <row r="54" spans="1:15" ht="20.100000000000001" customHeight="1" x14ac:dyDescent="0.25">
      <c r="A54" s="1" t="s">
        <v>287</v>
      </c>
      <c r="B54" s="1" t="s">
        <v>288</v>
      </c>
      <c r="C54" s="41" t="s">
        <v>289</v>
      </c>
      <c r="D54" s="41" t="s">
        <v>290</v>
      </c>
      <c r="E54" s="42">
        <v>20</v>
      </c>
      <c r="F54" s="42">
        <v>80</v>
      </c>
      <c r="G54" s="1" t="s">
        <v>267</v>
      </c>
      <c r="H54" s="1" t="s">
        <v>291</v>
      </c>
      <c r="I54" s="1" t="s">
        <v>97</v>
      </c>
      <c r="J54" s="41" t="s">
        <v>292</v>
      </c>
      <c r="K54" s="43" t="s">
        <v>293</v>
      </c>
      <c r="L54" s="44">
        <v>12</v>
      </c>
      <c r="M54" s="44">
        <v>54</v>
      </c>
      <c r="N54" s="45">
        <f>MasterFile5[[#This Row],[Cost per UoM]]/MasterFile5[[#This Row],[Quantity per UoM]]</f>
        <v>4.5</v>
      </c>
      <c r="O54" s="1" t="s">
        <v>271</v>
      </c>
    </row>
    <row r="55" spans="1:15" ht="20.100000000000001" customHeight="1" x14ac:dyDescent="0.25">
      <c r="A55" s="1" t="s">
        <v>294</v>
      </c>
      <c r="B55" s="1" t="s">
        <v>295</v>
      </c>
      <c r="C55" s="41" t="s">
        <v>289</v>
      </c>
      <c r="D55" s="41" t="s">
        <v>296</v>
      </c>
      <c r="E55" s="42">
        <v>30</v>
      </c>
      <c r="F55" s="42">
        <v>120</v>
      </c>
      <c r="G55" s="1" t="s">
        <v>285</v>
      </c>
      <c r="H55" s="1" t="s">
        <v>291</v>
      </c>
      <c r="I55" s="1" t="s">
        <v>156</v>
      </c>
      <c r="J55" s="41" t="s">
        <v>297</v>
      </c>
      <c r="K55" s="43" t="s">
        <v>293</v>
      </c>
      <c r="L55" s="44">
        <v>500</v>
      </c>
      <c r="M55" s="44">
        <v>18</v>
      </c>
      <c r="N55" s="45">
        <f>MasterFile5[[#This Row],[Cost per UoM]]/MasterFile5[[#This Row],[Quantity per UoM]]</f>
        <v>3.5999999999999997E-2</v>
      </c>
      <c r="O55" s="1" t="s">
        <v>271</v>
      </c>
    </row>
    <row r="56" spans="1:15" ht="20.100000000000001" customHeight="1" x14ac:dyDescent="0.25">
      <c r="A56" s="1" t="s">
        <v>298</v>
      </c>
      <c r="B56" s="1" t="s">
        <v>299</v>
      </c>
      <c r="C56" s="41" t="s">
        <v>300</v>
      </c>
      <c r="D56" s="41" t="s">
        <v>301</v>
      </c>
      <c r="E56" s="42">
        <v>10</v>
      </c>
      <c r="F56" s="42">
        <v>40</v>
      </c>
      <c r="G56" s="1" t="s">
        <v>267</v>
      </c>
      <c r="H56" s="1" t="s">
        <v>302</v>
      </c>
      <c r="I56" s="1" t="s">
        <v>156</v>
      </c>
      <c r="J56" s="41" t="s">
        <v>303</v>
      </c>
      <c r="K56" s="43" t="s">
        <v>293</v>
      </c>
      <c r="L56" s="44">
        <v>50</v>
      </c>
      <c r="M56" s="44">
        <v>62</v>
      </c>
      <c r="N56" s="45">
        <f>MasterFile5[[#This Row],[Cost per UoM]]/MasterFile5[[#This Row],[Quantity per UoM]]</f>
        <v>1.24</v>
      </c>
      <c r="O56" s="1" t="s">
        <v>271</v>
      </c>
    </row>
    <row r="57" spans="1:15" ht="20.100000000000001" customHeight="1" x14ac:dyDescent="0.25">
      <c r="A57" s="1" t="s">
        <v>304</v>
      </c>
      <c r="B57" s="1" t="s">
        <v>305</v>
      </c>
      <c r="C57" s="41" t="s">
        <v>300</v>
      </c>
      <c r="D57" s="41" t="s">
        <v>301</v>
      </c>
      <c r="E57" s="42">
        <v>15</v>
      </c>
      <c r="F57" s="42">
        <v>60</v>
      </c>
      <c r="G57" s="1" t="s">
        <v>285</v>
      </c>
      <c r="H57" s="1" t="s">
        <v>302</v>
      </c>
      <c r="I57" s="1" t="s">
        <v>156</v>
      </c>
      <c r="J57" s="41" t="s">
        <v>306</v>
      </c>
      <c r="K57" s="43" t="s">
        <v>293</v>
      </c>
      <c r="L57" s="44">
        <v>100</v>
      </c>
      <c r="M57" s="44">
        <v>48</v>
      </c>
      <c r="N57" s="45">
        <f>MasterFile5[[#This Row],[Cost per UoM]]/MasterFile5[[#This Row],[Quantity per UoM]]</f>
        <v>0.48</v>
      </c>
      <c r="O57" s="1" t="s">
        <v>271</v>
      </c>
    </row>
    <row r="58" spans="1:15" ht="20.100000000000001" customHeight="1" x14ac:dyDescent="0.25">
      <c r="A58" s="1" t="s">
        <v>307</v>
      </c>
      <c r="B58" s="1" t="s">
        <v>308</v>
      </c>
      <c r="C58" s="41" t="s">
        <v>300</v>
      </c>
      <c r="D58" s="41" t="s">
        <v>309</v>
      </c>
      <c r="E58" s="42">
        <v>8</v>
      </c>
      <c r="F58" s="42">
        <v>32</v>
      </c>
      <c r="G58" s="1" t="s">
        <v>285</v>
      </c>
      <c r="H58" s="1" t="s">
        <v>302</v>
      </c>
      <c r="I58" s="1" t="s">
        <v>156</v>
      </c>
      <c r="J58" s="41" t="s">
        <v>310</v>
      </c>
      <c r="K58" s="43" t="s">
        <v>293</v>
      </c>
      <c r="L58" s="44">
        <v>12</v>
      </c>
      <c r="M58" s="44">
        <v>72</v>
      </c>
      <c r="N58" s="45">
        <f>MasterFile5[[#This Row],[Cost per UoM]]/MasterFile5[[#This Row],[Quantity per UoM]]</f>
        <v>6</v>
      </c>
      <c r="O58" s="1" t="s">
        <v>271</v>
      </c>
    </row>
    <row r="59" spans="1:15" ht="20.100000000000001" customHeight="1" x14ac:dyDescent="0.25">
      <c r="A59" s="1" t="s">
        <v>311</v>
      </c>
      <c r="B59" s="1" t="s">
        <v>312</v>
      </c>
      <c r="C59" s="41" t="s">
        <v>300</v>
      </c>
      <c r="D59" s="41" t="s">
        <v>313</v>
      </c>
      <c r="E59" s="42">
        <v>4</v>
      </c>
      <c r="F59" s="42">
        <v>16</v>
      </c>
      <c r="G59" s="1" t="s">
        <v>285</v>
      </c>
      <c r="H59" s="1" t="s">
        <v>302</v>
      </c>
      <c r="I59" s="1" t="s">
        <v>156</v>
      </c>
      <c r="J59" s="41" t="s">
        <v>314</v>
      </c>
      <c r="K59" s="43" t="s">
        <v>138</v>
      </c>
      <c r="L59" s="44">
        <v>1</v>
      </c>
      <c r="M59" s="44">
        <v>24</v>
      </c>
      <c r="N59" s="45">
        <f>MasterFile5[[#This Row],[Cost per UoM]]/MasterFile5[[#This Row],[Quantity per UoM]]</f>
        <v>24</v>
      </c>
      <c r="O59" s="1" t="s">
        <v>271</v>
      </c>
    </row>
    <row r="60" spans="1:15" ht="20.100000000000001" customHeight="1" x14ac:dyDescent="0.25">
      <c r="A60" s="1" t="s">
        <v>315</v>
      </c>
      <c r="B60" s="1" t="s">
        <v>316</v>
      </c>
      <c r="C60" s="41" t="s">
        <v>317</v>
      </c>
      <c r="D60" s="41" t="s">
        <v>318</v>
      </c>
      <c r="E60" s="42">
        <v>20</v>
      </c>
      <c r="F60" s="42">
        <v>80</v>
      </c>
      <c r="G60" s="1" t="s">
        <v>267</v>
      </c>
      <c r="H60" s="1" t="s">
        <v>319</v>
      </c>
      <c r="I60" s="1" t="s">
        <v>97</v>
      </c>
      <c r="J60" s="41" t="s">
        <v>320</v>
      </c>
      <c r="K60" s="43" t="s">
        <v>198</v>
      </c>
      <c r="L60" s="44">
        <v>100</v>
      </c>
      <c r="M60" s="44">
        <v>14.5</v>
      </c>
      <c r="N60" s="45">
        <f>MasterFile5[[#This Row],[Cost per UoM]]/MasterFile5[[#This Row],[Quantity per UoM]]</f>
        <v>0.14499999999999999</v>
      </c>
      <c r="O60" s="1" t="s">
        <v>271</v>
      </c>
    </row>
    <row r="61" spans="1:15" ht="20.100000000000001" customHeight="1" x14ac:dyDescent="0.25">
      <c r="A61" s="1" t="s">
        <v>321</v>
      </c>
      <c r="B61" s="1" t="s">
        <v>322</v>
      </c>
      <c r="C61" s="41" t="s">
        <v>317</v>
      </c>
      <c r="D61" s="41" t="s">
        <v>318</v>
      </c>
      <c r="E61" s="42">
        <v>20</v>
      </c>
      <c r="F61" s="42">
        <v>80</v>
      </c>
      <c r="G61" s="1" t="s">
        <v>267</v>
      </c>
      <c r="H61" s="1" t="s">
        <v>319</v>
      </c>
      <c r="I61" s="1" t="s">
        <v>97</v>
      </c>
      <c r="J61" s="41" t="s">
        <v>323</v>
      </c>
      <c r="K61" s="43" t="s">
        <v>198</v>
      </c>
      <c r="L61" s="44">
        <v>100</v>
      </c>
      <c r="M61" s="44">
        <v>14.5</v>
      </c>
      <c r="N61" s="45">
        <f>MasterFile5[[#This Row],[Cost per UoM]]/MasterFile5[[#This Row],[Quantity per UoM]]</f>
        <v>0.14499999999999999</v>
      </c>
      <c r="O61" s="1" t="s">
        <v>271</v>
      </c>
    </row>
    <row r="62" spans="1:15" ht="20.100000000000001" customHeight="1" x14ac:dyDescent="0.25">
      <c r="A62" s="1" t="s">
        <v>324</v>
      </c>
      <c r="B62" s="1" t="s">
        <v>325</v>
      </c>
      <c r="C62" s="41" t="s">
        <v>317</v>
      </c>
      <c r="D62" s="41" t="s">
        <v>326</v>
      </c>
      <c r="E62" s="42">
        <v>10</v>
      </c>
      <c r="F62" s="42">
        <v>40</v>
      </c>
      <c r="G62" s="1" t="s">
        <v>267</v>
      </c>
      <c r="H62" s="1" t="s">
        <v>319</v>
      </c>
      <c r="I62" s="1" t="s">
        <v>156</v>
      </c>
      <c r="J62" s="41" t="s">
        <v>327</v>
      </c>
      <c r="K62" s="43" t="s">
        <v>293</v>
      </c>
      <c r="L62" s="44">
        <v>100</v>
      </c>
      <c r="M62" s="44">
        <v>28</v>
      </c>
      <c r="N62" s="45">
        <f>MasterFile5[[#This Row],[Cost per UoM]]/MasterFile5[[#This Row],[Quantity per UoM]]</f>
        <v>0.28000000000000003</v>
      </c>
      <c r="O62" s="1" t="s">
        <v>271</v>
      </c>
    </row>
    <row r="63" spans="1:15" ht="20.100000000000001" customHeight="1" x14ac:dyDescent="0.25">
      <c r="A63" s="1" t="s">
        <v>328</v>
      </c>
      <c r="B63" s="1" t="s">
        <v>329</v>
      </c>
      <c r="C63" s="41" t="s">
        <v>317</v>
      </c>
      <c r="D63" s="41" t="s">
        <v>330</v>
      </c>
      <c r="E63" s="42">
        <v>8</v>
      </c>
      <c r="F63" s="42">
        <v>32</v>
      </c>
      <c r="G63" s="1" t="s">
        <v>285</v>
      </c>
      <c r="H63" s="1" t="s">
        <v>319</v>
      </c>
      <c r="I63" s="1" t="s">
        <v>156</v>
      </c>
      <c r="J63" s="41" t="s">
        <v>331</v>
      </c>
      <c r="K63" s="43" t="s">
        <v>198</v>
      </c>
      <c r="L63" s="44">
        <v>144</v>
      </c>
      <c r="M63" s="44">
        <v>12</v>
      </c>
      <c r="N63" s="45">
        <f>MasterFile5[[#This Row],[Cost per UoM]]/MasterFile5[[#This Row],[Quantity per UoM]]</f>
        <v>8.3333333333333329E-2</v>
      </c>
      <c r="O63" s="1" t="s">
        <v>271</v>
      </c>
    </row>
    <row r="64" spans="1:15" ht="20.100000000000001" customHeight="1" x14ac:dyDescent="0.25">
      <c r="A64" s="1" t="s">
        <v>332</v>
      </c>
      <c r="B64" s="1" t="s">
        <v>333</v>
      </c>
      <c r="C64" s="41" t="s">
        <v>334</v>
      </c>
      <c r="D64" s="41" t="s">
        <v>335</v>
      </c>
      <c r="E64" s="42">
        <v>5</v>
      </c>
      <c r="F64" s="42">
        <v>20</v>
      </c>
      <c r="G64" s="1" t="s">
        <v>267</v>
      </c>
      <c r="H64" s="1" t="s">
        <v>291</v>
      </c>
      <c r="I64" s="1" t="s">
        <v>89</v>
      </c>
      <c r="J64" s="41" t="s">
        <v>336</v>
      </c>
      <c r="K64" s="43" t="s">
        <v>171</v>
      </c>
      <c r="L64" s="44">
        <v>1</v>
      </c>
      <c r="M64" s="44">
        <v>48</v>
      </c>
      <c r="N64" s="45">
        <f>MasterFile5[[#This Row],[Cost per UoM]]/MasterFile5[[#This Row],[Quantity per UoM]]</f>
        <v>48</v>
      </c>
      <c r="O64" s="1" t="s">
        <v>271</v>
      </c>
    </row>
    <row r="65" spans="1:15" ht="20.100000000000001" customHeight="1" x14ac:dyDescent="0.25">
      <c r="A65" s="1" t="s">
        <v>337</v>
      </c>
      <c r="B65" s="1" t="s">
        <v>338</v>
      </c>
      <c r="C65" s="41" t="s">
        <v>334</v>
      </c>
      <c r="D65" s="41" t="s">
        <v>339</v>
      </c>
      <c r="E65" s="42">
        <v>6</v>
      </c>
      <c r="F65" s="42">
        <v>24</v>
      </c>
      <c r="G65" s="1" t="s">
        <v>267</v>
      </c>
      <c r="H65" s="1" t="s">
        <v>136</v>
      </c>
      <c r="I65" s="1" t="s">
        <v>89</v>
      </c>
      <c r="J65" s="41" t="s">
        <v>340</v>
      </c>
      <c r="K65" s="43" t="s">
        <v>171</v>
      </c>
      <c r="L65" s="44">
        <v>1</v>
      </c>
      <c r="M65" s="44">
        <v>32</v>
      </c>
      <c r="N65" s="45">
        <f>MasterFile5[[#This Row],[Cost per UoM]]/MasterFile5[[#This Row],[Quantity per UoM]]</f>
        <v>32</v>
      </c>
      <c r="O65" s="1" t="s">
        <v>271</v>
      </c>
    </row>
    <row r="66" spans="1:15" ht="20.100000000000001" customHeight="1" x14ac:dyDescent="0.25">
      <c r="A66" s="1" t="s">
        <v>341</v>
      </c>
      <c r="B66" s="1" t="s">
        <v>342</v>
      </c>
      <c r="C66" s="41" t="s">
        <v>334</v>
      </c>
      <c r="D66" s="41" t="s">
        <v>343</v>
      </c>
      <c r="E66" s="42">
        <v>20</v>
      </c>
      <c r="F66" s="42">
        <v>80</v>
      </c>
      <c r="G66" s="1" t="s">
        <v>285</v>
      </c>
      <c r="H66" s="1" t="s">
        <v>136</v>
      </c>
      <c r="I66" s="1" t="s">
        <v>156</v>
      </c>
      <c r="J66" s="41" t="s">
        <v>344</v>
      </c>
      <c r="K66" s="43" t="s">
        <v>255</v>
      </c>
      <c r="L66" s="44">
        <v>6</v>
      </c>
      <c r="M66" s="44">
        <v>18</v>
      </c>
      <c r="N66" s="45">
        <f>MasterFile5[[#This Row],[Cost per UoM]]/MasterFile5[[#This Row],[Quantity per UoM]]</f>
        <v>3</v>
      </c>
      <c r="O66" s="1" t="s">
        <v>271</v>
      </c>
    </row>
    <row r="67" spans="1:15" ht="20.100000000000001" customHeight="1" x14ac:dyDescent="0.25">
      <c r="A67" s="1" t="s">
        <v>345</v>
      </c>
      <c r="B67" s="1" t="s">
        <v>346</v>
      </c>
      <c r="C67" s="41" t="s">
        <v>334</v>
      </c>
      <c r="D67" s="41" t="s">
        <v>347</v>
      </c>
      <c r="E67" s="42">
        <v>8</v>
      </c>
      <c r="F67" s="42">
        <v>32</v>
      </c>
      <c r="G67" s="1" t="s">
        <v>285</v>
      </c>
      <c r="H67" s="1" t="s">
        <v>136</v>
      </c>
      <c r="I67" s="1" t="s">
        <v>156</v>
      </c>
      <c r="J67" s="41" t="s">
        <v>348</v>
      </c>
      <c r="K67" s="43" t="s">
        <v>293</v>
      </c>
      <c r="L67" s="44">
        <v>4</v>
      </c>
      <c r="M67" s="44">
        <v>64</v>
      </c>
      <c r="N67" s="45">
        <f>MasterFile5[[#This Row],[Cost per UoM]]/MasterFile5[[#This Row],[Quantity per UoM]]</f>
        <v>16</v>
      </c>
      <c r="O67" s="1" t="s">
        <v>271</v>
      </c>
    </row>
    <row r="68" spans="1:15" ht="20.100000000000001" customHeight="1" x14ac:dyDescent="0.25">
      <c r="A68" s="1" t="s">
        <v>349</v>
      </c>
      <c r="B68" s="1" t="s">
        <v>350</v>
      </c>
      <c r="C68" s="41" t="s">
        <v>334</v>
      </c>
      <c r="D68" s="41" t="s">
        <v>351</v>
      </c>
      <c r="E68" s="42">
        <v>10</v>
      </c>
      <c r="F68" s="42">
        <v>40</v>
      </c>
      <c r="G68" s="1" t="s">
        <v>285</v>
      </c>
      <c r="H68" s="1" t="s">
        <v>136</v>
      </c>
      <c r="I68" s="1" t="s">
        <v>156</v>
      </c>
      <c r="J68" s="41" t="s">
        <v>352</v>
      </c>
      <c r="K68" s="43" t="s">
        <v>255</v>
      </c>
      <c r="L68" s="44">
        <v>25</v>
      </c>
      <c r="M68" s="44">
        <v>22</v>
      </c>
      <c r="N68" s="45">
        <f>MasterFile5[[#This Row],[Cost per UoM]]/MasterFile5[[#This Row],[Quantity per UoM]]</f>
        <v>0.88</v>
      </c>
      <c r="O68" s="1" t="s">
        <v>271</v>
      </c>
    </row>
    <row r="69" spans="1:15" ht="20.100000000000001" customHeight="1" x14ac:dyDescent="0.25">
      <c r="A69" s="1" t="s">
        <v>353</v>
      </c>
      <c r="B69" s="1" t="s">
        <v>354</v>
      </c>
      <c r="C69" s="41" t="s">
        <v>355</v>
      </c>
      <c r="D69" s="41" t="s">
        <v>356</v>
      </c>
      <c r="E69" s="42">
        <v>8</v>
      </c>
      <c r="F69" s="42">
        <v>32</v>
      </c>
      <c r="G69" s="1" t="s">
        <v>267</v>
      </c>
      <c r="H69" s="1" t="s">
        <v>96</v>
      </c>
      <c r="I69" s="1" t="s">
        <v>89</v>
      </c>
      <c r="J69" s="41" t="s">
        <v>357</v>
      </c>
      <c r="K69" s="43" t="s">
        <v>293</v>
      </c>
      <c r="L69" s="44">
        <v>24</v>
      </c>
      <c r="M69" s="44">
        <v>26</v>
      </c>
      <c r="N69" s="45">
        <f>MasterFile5[[#This Row],[Cost per UoM]]/MasterFile5[[#This Row],[Quantity per UoM]]</f>
        <v>1.0833333333333333</v>
      </c>
      <c r="O69" s="1" t="s">
        <v>271</v>
      </c>
    </row>
    <row r="70" spans="1:15" ht="20.100000000000001" customHeight="1" x14ac:dyDescent="0.25">
      <c r="A70" s="1" t="s">
        <v>358</v>
      </c>
      <c r="B70" s="1" t="s">
        <v>359</v>
      </c>
      <c r="C70" s="41" t="s">
        <v>355</v>
      </c>
      <c r="D70" s="41" t="s">
        <v>360</v>
      </c>
      <c r="E70" s="42">
        <v>6</v>
      </c>
      <c r="F70" s="42">
        <v>24</v>
      </c>
      <c r="G70" s="1" t="s">
        <v>267</v>
      </c>
      <c r="H70" s="1" t="s">
        <v>136</v>
      </c>
      <c r="I70" s="1" t="s">
        <v>89</v>
      </c>
      <c r="J70" s="41" t="s">
        <v>361</v>
      </c>
      <c r="K70" s="43" t="s">
        <v>293</v>
      </c>
      <c r="L70" s="44">
        <v>25</v>
      </c>
      <c r="M70" s="44">
        <v>58</v>
      </c>
      <c r="N70" s="45">
        <f>MasterFile5[[#This Row],[Cost per UoM]]/MasterFile5[[#This Row],[Quantity per UoM]]</f>
        <v>2.3199999999999998</v>
      </c>
      <c r="O70" s="1" t="s">
        <v>271</v>
      </c>
    </row>
    <row r="71" spans="1:15" ht="20.100000000000001" customHeight="1" x14ac:dyDescent="0.25">
      <c r="A71" s="1" t="s">
        <v>362</v>
      </c>
      <c r="B71" s="1" t="s">
        <v>363</v>
      </c>
      <c r="C71" s="41" t="s">
        <v>355</v>
      </c>
      <c r="D71" s="41" t="s">
        <v>364</v>
      </c>
      <c r="E71" s="42">
        <v>10</v>
      </c>
      <c r="F71" s="42">
        <v>40</v>
      </c>
      <c r="G71" s="1" t="s">
        <v>285</v>
      </c>
      <c r="H71" s="1" t="s">
        <v>268</v>
      </c>
      <c r="I71" s="1" t="s">
        <v>156</v>
      </c>
      <c r="J71" s="41" t="s">
        <v>365</v>
      </c>
      <c r="K71" s="43" t="s">
        <v>255</v>
      </c>
      <c r="L71" s="44">
        <v>50</v>
      </c>
      <c r="M71" s="44">
        <v>18</v>
      </c>
      <c r="N71" s="45">
        <f>MasterFile5[[#This Row],[Cost per UoM]]/MasterFile5[[#This Row],[Quantity per UoM]]</f>
        <v>0.36</v>
      </c>
      <c r="O71" s="1" t="s">
        <v>271</v>
      </c>
    </row>
    <row r="72" spans="1:15" ht="20.100000000000001" customHeight="1" x14ac:dyDescent="0.25">
      <c r="A72" s="1" t="s">
        <v>366</v>
      </c>
      <c r="B72" s="1" t="s">
        <v>367</v>
      </c>
      <c r="C72" s="41" t="s">
        <v>355</v>
      </c>
      <c r="D72" s="41" t="s">
        <v>368</v>
      </c>
      <c r="E72" s="42">
        <v>8</v>
      </c>
      <c r="F72" s="42">
        <v>32</v>
      </c>
      <c r="G72" s="1" t="s">
        <v>285</v>
      </c>
      <c r="H72" s="1" t="s">
        <v>268</v>
      </c>
      <c r="I72" s="1" t="s">
        <v>89</v>
      </c>
      <c r="J72" s="41" t="s">
        <v>369</v>
      </c>
      <c r="K72" s="43" t="s">
        <v>255</v>
      </c>
      <c r="L72" s="44">
        <v>100</v>
      </c>
      <c r="M72" s="44">
        <v>24</v>
      </c>
      <c r="N72" s="45">
        <f>MasterFile5[[#This Row],[Cost per UoM]]/MasterFile5[[#This Row],[Quantity per UoM]]</f>
        <v>0.24</v>
      </c>
      <c r="O72" s="1" t="s">
        <v>271</v>
      </c>
    </row>
    <row r="73" spans="1:15" ht="20.100000000000001" customHeight="1" x14ac:dyDescent="0.25">
      <c r="A73" s="1" t="s">
        <v>370</v>
      </c>
      <c r="B73" s="1" t="s">
        <v>371</v>
      </c>
      <c r="C73" s="41" t="s">
        <v>300</v>
      </c>
      <c r="D73" s="41" t="s">
        <v>372</v>
      </c>
      <c r="E73" s="42">
        <v>5</v>
      </c>
      <c r="F73" s="42">
        <v>20</v>
      </c>
      <c r="G73" s="1" t="s">
        <v>285</v>
      </c>
      <c r="H73" s="1" t="s">
        <v>302</v>
      </c>
      <c r="I73" s="1" t="s">
        <v>156</v>
      </c>
      <c r="J73" s="41" t="s">
        <v>373</v>
      </c>
      <c r="K73" s="43" t="s">
        <v>171</v>
      </c>
      <c r="L73" s="44">
        <v>1</v>
      </c>
      <c r="M73" s="44">
        <v>14</v>
      </c>
      <c r="N73" s="45">
        <f>MasterFile5[[#This Row],[Cost per UoM]]/MasterFile5[[#This Row],[Quantity per UoM]]</f>
        <v>14</v>
      </c>
      <c r="O73" s="1" t="s">
        <v>271</v>
      </c>
    </row>
    <row r="74" spans="1:15" ht="20.100000000000001" customHeight="1" x14ac:dyDescent="0.25">
      <c r="A74" s="1" t="s">
        <v>374</v>
      </c>
      <c r="B74" s="1" t="s">
        <v>375</v>
      </c>
      <c r="C74" s="41" t="s">
        <v>376</v>
      </c>
      <c r="D74" s="41" t="s">
        <v>377</v>
      </c>
      <c r="E74" s="42">
        <v>3</v>
      </c>
      <c r="F74" s="42">
        <v>12</v>
      </c>
      <c r="G74" s="1" t="s">
        <v>285</v>
      </c>
      <c r="H74" s="1" t="s">
        <v>319</v>
      </c>
      <c r="I74" s="1" t="s">
        <v>97</v>
      </c>
      <c r="J74" s="41" t="s">
        <v>378</v>
      </c>
      <c r="K74" s="43" t="s">
        <v>379</v>
      </c>
      <c r="L74" s="44">
        <v>1</v>
      </c>
      <c r="M74" s="44">
        <v>34</v>
      </c>
      <c r="N74" s="45">
        <f>MasterFile5[[#This Row],[Cost per UoM]]/MasterFile5[[#This Row],[Quantity per UoM]]</f>
        <v>34</v>
      </c>
      <c r="O74" s="1" t="s">
        <v>271</v>
      </c>
    </row>
    <row r="75" spans="1:15" ht="20.100000000000001" customHeight="1" x14ac:dyDescent="0.25">
      <c r="A75" s="1" t="s">
        <v>380</v>
      </c>
      <c r="B75" s="1" t="s">
        <v>381</v>
      </c>
      <c r="C75" s="41" t="s">
        <v>382</v>
      </c>
      <c r="D75" s="41" t="s">
        <v>383</v>
      </c>
      <c r="E75" s="42">
        <v>4</v>
      </c>
      <c r="F75" s="42">
        <v>16</v>
      </c>
      <c r="G75" s="1" t="s">
        <v>384</v>
      </c>
      <c r="H75" s="1" t="s">
        <v>385</v>
      </c>
      <c r="I75" s="1" t="s">
        <v>77</v>
      </c>
      <c r="J75" s="41" t="s">
        <v>386</v>
      </c>
      <c r="K75" s="43" t="s">
        <v>138</v>
      </c>
      <c r="L75" s="44">
        <v>1</v>
      </c>
      <c r="M75" s="44">
        <v>48</v>
      </c>
      <c r="N75" s="45">
        <f>MasterFile5[[#This Row],[Cost per UoM]]/MasterFile5[[#This Row],[Quantity per UoM]]</f>
        <v>48</v>
      </c>
      <c r="O75" s="1" t="s">
        <v>387</v>
      </c>
    </row>
    <row r="76" spans="1:15" ht="20.100000000000001" customHeight="1" x14ac:dyDescent="0.25">
      <c r="A76" s="1" t="s">
        <v>388</v>
      </c>
      <c r="B76" s="1" t="s">
        <v>389</v>
      </c>
      <c r="C76" s="41" t="s">
        <v>382</v>
      </c>
      <c r="D76" s="41" t="s">
        <v>390</v>
      </c>
      <c r="E76" s="42">
        <v>4</v>
      </c>
      <c r="F76" s="42">
        <v>16</v>
      </c>
      <c r="G76" s="1" t="s">
        <v>384</v>
      </c>
      <c r="H76" s="1" t="s">
        <v>385</v>
      </c>
      <c r="I76" s="1" t="s">
        <v>97</v>
      </c>
      <c r="J76" s="41" t="s">
        <v>391</v>
      </c>
      <c r="K76" s="43" t="s">
        <v>138</v>
      </c>
      <c r="L76" s="44">
        <v>1</v>
      </c>
      <c r="M76" s="44">
        <v>18</v>
      </c>
      <c r="N76" s="45">
        <f>MasterFile5[[#This Row],[Cost per UoM]]/MasterFile5[[#This Row],[Quantity per UoM]]</f>
        <v>18</v>
      </c>
      <c r="O76" s="1" t="s">
        <v>387</v>
      </c>
    </row>
    <row r="77" spans="1:15" ht="20.100000000000001" customHeight="1" x14ac:dyDescent="0.25">
      <c r="A77" s="1" t="s">
        <v>392</v>
      </c>
      <c r="B77" s="1" t="s">
        <v>393</v>
      </c>
      <c r="C77" s="41" t="s">
        <v>382</v>
      </c>
      <c r="D77" s="41" t="s">
        <v>394</v>
      </c>
      <c r="E77" s="42">
        <v>2</v>
      </c>
      <c r="F77" s="42">
        <v>8</v>
      </c>
      <c r="G77" s="1" t="s">
        <v>384</v>
      </c>
      <c r="H77" s="1" t="s">
        <v>385</v>
      </c>
      <c r="I77" s="1" t="s">
        <v>77</v>
      </c>
      <c r="J77" s="41" t="s">
        <v>395</v>
      </c>
      <c r="K77" s="43" t="s">
        <v>138</v>
      </c>
      <c r="L77" s="44">
        <v>1</v>
      </c>
      <c r="M77" s="44">
        <v>42</v>
      </c>
      <c r="N77" s="45">
        <f>MasterFile5[[#This Row],[Cost per UoM]]/MasterFile5[[#This Row],[Quantity per UoM]]</f>
        <v>42</v>
      </c>
      <c r="O77" s="1" t="s">
        <v>387</v>
      </c>
    </row>
    <row r="78" spans="1:15" ht="20.100000000000001" customHeight="1" x14ac:dyDescent="0.25">
      <c r="A78" s="1" t="s">
        <v>396</v>
      </c>
      <c r="B78" s="1" t="s">
        <v>397</v>
      </c>
      <c r="C78" s="41" t="s">
        <v>382</v>
      </c>
      <c r="D78" s="41" t="s">
        <v>398</v>
      </c>
      <c r="E78" s="42">
        <v>2</v>
      </c>
      <c r="F78" s="42">
        <v>8</v>
      </c>
      <c r="G78" s="1" t="s">
        <v>384</v>
      </c>
      <c r="H78" s="1" t="s">
        <v>385</v>
      </c>
      <c r="I78" s="1" t="s">
        <v>156</v>
      </c>
      <c r="J78" s="41" t="s">
        <v>399</v>
      </c>
      <c r="K78" s="43" t="s">
        <v>138</v>
      </c>
      <c r="L78" s="44">
        <v>1</v>
      </c>
      <c r="M78" s="44">
        <v>28</v>
      </c>
      <c r="N78" s="45">
        <f>MasterFile5[[#This Row],[Cost per UoM]]/MasterFile5[[#This Row],[Quantity per UoM]]</f>
        <v>28</v>
      </c>
      <c r="O78" s="1" t="s">
        <v>387</v>
      </c>
    </row>
    <row r="79" spans="1:15" ht="20.100000000000001" customHeight="1" x14ac:dyDescent="0.25">
      <c r="A79" s="1" t="s">
        <v>400</v>
      </c>
      <c r="B79" s="1" t="s">
        <v>401</v>
      </c>
      <c r="C79" s="41" t="s">
        <v>382</v>
      </c>
      <c r="D79" s="41" t="s">
        <v>402</v>
      </c>
      <c r="E79" s="42">
        <v>3</v>
      </c>
      <c r="F79" s="42">
        <v>12</v>
      </c>
      <c r="G79" s="1" t="s">
        <v>384</v>
      </c>
      <c r="H79" s="1" t="s">
        <v>385</v>
      </c>
      <c r="I79" s="1" t="s">
        <v>156</v>
      </c>
      <c r="J79" s="41" t="s">
        <v>403</v>
      </c>
      <c r="K79" s="43" t="s">
        <v>138</v>
      </c>
      <c r="L79" s="44">
        <v>1</v>
      </c>
      <c r="M79" s="44">
        <v>18</v>
      </c>
      <c r="N79" s="45">
        <f>MasterFile5[[#This Row],[Cost per UoM]]/MasterFile5[[#This Row],[Quantity per UoM]]</f>
        <v>18</v>
      </c>
      <c r="O79" s="1" t="s">
        <v>387</v>
      </c>
    </row>
    <row r="80" spans="1:15" ht="20.100000000000001" customHeight="1" x14ac:dyDescent="0.25">
      <c r="A80" s="1" t="s">
        <v>404</v>
      </c>
      <c r="B80" s="1" t="s">
        <v>405</v>
      </c>
      <c r="C80" s="41" t="s">
        <v>382</v>
      </c>
      <c r="D80" s="41" t="s">
        <v>406</v>
      </c>
      <c r="E80" s="42">
        <v>6</v>
      </c>
      <c r="F80" s="42">
        <v>24</v>
      </c>
      <c r="G80" s="1" t="s">
        <v>384</v>
      </c>
      <c r="H80" s="1" t="s">
        <v>176</v>
      </c>
      <c r="I80" s="1" t="s">
        <v>97</v>
      </c>
      <c r="J80" s="41" t="s">
        <v>407</v>
      </c>
      <c r="K80" s="43" t="s">
        <v>255</v>
      </c>
      <c r="L80" s="44">
        <v>100</v>
      </c>
      <c r="M80" s="44">
        <v>14</v>
      </c>
      <c r="N80" s="45">
        <f>MasterFile5[[#This Row],[Cost per UoM]]/MasterFile5[[#This Row],[Quantity per UoM]]</f>
        <v>0.14000000000000001</v>
      </c>
      <c r="O80" s="1" t="s">
        <v>387</v>
      </c>
    </row>
    <row r="81" spans="1:15" ht="20.100000000000001" customHeight="1" x14ac:dyDescent="0.25">
      <c r="A81" s="1" t="s">
        <v>408</v>
      </c>
      <c r="B81" s="1" t="s">
        <v>409</v>
      </c>
      <c r="C81" s="41" t="s">
        <v>410</v>
      </c>
      <c r="D81" s="41" t="s">
        <v>411</v>
      </c>
      <c r="E81" s="42">
        <v>2</v>
      </c>
      <c r="F81" s="42">
        <v>8</v>
      </c>
      <c r="G81" s="1" t="s">
        <v>384</v>
      </c>
      <c r="H81" s="1" t="s">
        <v>182</v>
      </c>
      <c r="I81" s="1" t="s">
        <v>77</v>
      </c>
      <c r="J81" s="41" t="s">
        <v>412</v>
      </c>
      <c r="K81" s="43" t="s">
        <v>178</v>
      </c>
      <c r="L81" s="44">
        <v>1</v>
      </c>
      <c r="M81" s="44">
        <v>145</v>
      </c>
      <c r="N81" s="45">
        <f>MasterFile5[[#This Row],[Cost per UoM]]/MasterFile5[[#This Row],[Quantity per UoM]]</f>
        <v>145</v>
      </c>
      <c r="O81" s="1" t="s">
        <v>387</v>
      </c>
    </row>
    <row r="82" spans="1:15" ht="20.100000000000001" customHeight="1" x14ac:dyDescent="0.25">
      <c r="A82" s="1" t="s">
        <v>413</v>
      </c>
      <c r="B82" s="1" t="s">
        <v>414</v>
      </c>
      <c r="C82" s="41" t="s">
        <v>410</v>
      </c>
      <c r="D82" s="41" t="s">
        <v>415</v>
      </c>
      <c r="E82" s="42">
        <v>3</v>
      </c>
      <c r="F82" s="42">
        <v>12</v>
      </c>
      <c r="G82" s="1" t="s">
        <v>384</v>
      </c>
      <c r="H82" s="1" t="s">
        <v>182</v>
      </c>
      <c r="I82" s="1" t="s">
        <v>77</v>
      </c>
      <c r="J82" s="41" t="s">
        <v>416</v>
      </c>
      <c r="K82" s="43" t="s">
        <v>379</v>
      </c>
      <c r="L82" s="44">
        <v>1</v>
      </c>
      <c r="M82" s="44">
        <v>68</v>
      </c>
      <c r="N82" s="45">
        <f>MasterFile5[[#This Row],[Cost per UoM]]/MasterFile5[[#This Row],[Quantity per UoM]]</f>
        <v>68</v>
      </c>
      <c r="O82" s="1" t="s">
        <v>387</v>
      </c>
    </row>
    <row r="83" spans="1:15" ht="20.100000000000001" customHeight="1" x14ac:dyDescent="0.25">
      <c r="A83" s="1" t="s">
        <v>417</v>
      </c>
      <c r="B83" s="1" t="s">
        <v>418</v>
      </c>
      <c r="C83" s="41" t="s">
        <v>410</v>
      </c>
      <c r="D83" s="41" t="s">
        <v>415</v>
      </c>
      <c r="E83" s="42">
        <v>2</v>
      </c>
      <c r="F83" s="42">
        <v>8</v>
      </c>
      <c r="G83" s="1" t="s">
        <v>384</v>
      </c>
      <c r="H83" s="1" t="s">
        <v>176</v>
      </c>
      <c r="I83" s="1" t="s">
        <v>77</v>
      </c>
      <c r="J83" s="41" t="s">
        <v>419</v>
      </c>
      <c r="K83" s="43" t="s">
        <v>138</v>
      </c>
      <c r="L83" s="44">
        <v>1</v>
      </c>
      <c r="M83" s="44">
        <v>42</v>
      </c>
      <c r="N83" s="45">
        <f>MasterFile5[[#This Row],[Cost per UoM]]/MasterFile5[[#This Row],[Quantity per UoM]]</f>
        <v>42</v>
      </c>
      <c r="O83" s="1" t="s">
        <v>387</v>
      </c>
    </row>
    <row r="84" spans="1:15" ht="20.100000000000001" customHeight="1" x14ac:dyDescent="0.25">
      <c r="A84" s="1" t="s">
        <v>420</v>
      </c>
      <c r="B84" s="1" t="s">
        <v>421</v>
      </c>
      <c r="C84" s="41" t="s">
        <v>410</v>
      </c>
      <c r="D84" s="41" t="s">
        <v>422</v>
      </c>
      <c r="E84" s="42">
        <v>2</v>
      </c>
      <c r="F84" s="42">
        <v>8</v>
      </c>
      <c r="G84" s="1" t="s">
        <v>384</v>
      </c>
      <c r="H84" s="1" t="s">
        <v>176</v>
      </c>
      <c r="I84" s="1" t="s">
        <v>77</v>
      </c>
      <c r="J84" s="41" t="s">
        <v>423</v>
      </c>
      <c r="K84" s="43" t="s">
        <v>138</v>
      </c>
      <c r="L84" s="44">
        <v>1</v>
      </c>
      <c r="M84" s="44">
        <v>86</v>
      </c>
      <c r="N84" s="45">
        <f>MasterFile5[[#This Row],[Cost per UoM]]/MasterFile5[[#This Row],[Quantity per UoM]]</f>
        <v>86</v>
      </c>
      <c r="O84" s="1" t="s">
        <v>387</v>
      </c>
    </row>
    <row r="85" spans="1:15" ht="20.100000000000001" customHeight="1" x14ac:dyDescent="0.25">
      <c r="A85" s="1" t="s">
        <v>424</v>
      </c>
      <c r="B85" s="1" t="s">
        <v>425</v>
      </c>
      <c r="C85" s="41" t="s">
        <v>410</v>
      </c>
      <c r="D85" s="41" t="s">
        <v>426</v>
      </c>
      <c r="E85" s="42">
        <v>2</v>
      </c>
      <c r="F85" s="42">
        <v>8</v>
      </c>
      <c r="G85" s="1" t="s">
        <v>384</v>
      </c>
      <c r="H85" s="1" t="s">
        <v>176</v>
      </c>
      <c r="I85" s="1" t="s">
        <v>77</v>
      </c>
      <c r="J85" s="41" t="s">
        <v>427</v>
      </c>
      <c r="K85" s="43" t="s">
        <v>138</v>
      </c>
      <c r="L85" s="44">
        <v>1</v>
      </c>
      <c r="M85" s="44">
        <v>54</v>
      </c>
      <c r="N85" s="45">
        <f>MasterFile5[[#This Row],[Cost per UoM]]/MasterFile5[[#This Row],[Quantity per UoM]]</f>
        <v>54</v>
      </c>
      <c r="O85" s="1" t="s">
        <v>387</v>
      </c>
    </row>
    <row r="86" spans="1:15" ht="20.100000000000001" customHeight="1" x14ac:dyDescent="0.25">
      <c r="A86" s="1" t="s">
        <v>428</v>
      </c>
      <c r="B86" s="1" t="s">
        <v>429</v>
      </c>
      <c r="C86" s="41" t="s">
        <v>410</v>
      </c>
      <c r="D86" s="41" t="s">
        <v>430</v>
      </c>
      <c r="E86" s="42">
        <v>2</v>
      </c>
      <c r="F86" s="42">
        <v>8</v>
      </c>
      <c r="G86" s="1" t="s">
        <v>384</v>
      </c>
      <c r="H86" s="1" t="s">
        <v>176</v>
      </c>
      <c r="I86" s="1" t="s">
        <v>77</v>
      </c>
      <c r="J86" s="41" t="s">
        <v>431</v>
      </c>
      <c r="K86" s="43" t="s">
        <v>138</v>
      </c>
      <c r="L86" s="44">
        <v>1</v>
      </c>
      <c r="M86" s="44">
        <v>62</v>
      </c>
      <c r="N86" s="45">
        <f>MasterFile5[[#This Row],[Cost per UoM]]/MasterFile5[[#This Row],[Quantity per UoM]]</f>
        <v>62</v>
      </c>
      <c r="O86" s="1" t="s">
        <v>387</v>
      </c>
    </row>
    <row r="87" spans="1:15" ht="20.100000000000001" customHeight="1" x14ac:dyDescent="0.25">
      <c r="A87" s="1" t="s">
        <v>432</v>
      </c>
      <c r="B87" s="1" t="s">
        <v>433</v>
      </c>
      <c r="C87" s="41" t="s">
        <v>434</v>
      </c>
      <c r="D87" s="41" t="s">
        <v>435</v>
      </c>
      <c r="E87" s="42">
        <v>2</v>
      </c>
      <c r="F87" s="42">
        <v>8</v>
      </c>
      <c r="G87" s="1" t="s">
        <v>384</v>
      </c>
      <c r="H87" s="1" t="s">
        <v>176</v>
      </c>
      <c r="I87" s="1" t="s">
        <v>156</v>
      </c>
      <c r="J87" s="41" t="s">
        <v>436</v>
      </c>
      <c r="K87" s="43" t="s">
        <v>178</v>
      </c>
      <c r="L87" s="44">
        <v>1</v>
      </c>
      <c r="M87" s="44">
        <v>42</v>
      </c>
      <c r="N87" s="45">
        <f>MasterFile5[[#This Row],[Cost per UoM]]/MasterFile5[[#This Row],[Quantity per UoM]]</f>
        <v>42</v>
      </c>
      <c r="O87" s="1" t="s">
        <v>387</v>
      </c>
    </row>
    <row r="88" spans="1:15" ht="20.100000000000001" customHeight="1" x14ac:dyDescent="0.25">
      <c r="A88" s="1" t="s">
        <v>437</v>
      </c>
      <c r="B88" s="1" t="s">
        <v>438</v>
      </c>
      <c r="C88" s="41" t="s">
        <v>434</v>
      </c>
      <c r="D88" s="41" t="s">
        <v>435</v>
      </c>
      <c r="E88" s="42">
        <v>2</v>
      </c>
      <c r="F88" s="42">
        <v>8</v>
      </c>
      <c r="G88" s="1" t="s">
        <v>384</v>
      </c>
      <c r="H88" s="1" t="s">
        <v>176</v>
      </c>
      <c r="I88" s="1" t="s">
        <v>156</v>
      </c>
      <c r="J88" s="41" t="s">
        <v>439</v>
      </c>
      <c r="K88" s="43" t="s">
        <v>138</v>
      </c>
      <c r="L88" s="44">
        <v>1</v>
      </c>
      <c r="M88" s="44">
        <v>28</v>
      </c>
      <c r="N88" s="45">
        <f>MasterFile5[[#This Row],[Cost per UoM]]/MasterFile5[[#This Row],[Quantity per UoM]]</f>
        <v>28</v>
      </c>
      <c r="O88" s="1" t="s">
        <v>387</v>
      </c>
    </row>
    <row r="89" spans="1:15" ht="20.100000000000001" customHeight="1" x14ac:dyDescent="0.25">
      <c r="A89" s="1" t="s">
        <v>440</v>
      </c>
      <c r="B89" s="1" t="s">
        <v>441</v>
      </c>
      <c r="C89" s="41" t="s">
        <v>434</v>
      </c>
      <c r="D89" s="41" t="s">
        <v>442</v>
      </c>
      <c r="E89" s="42">
        <v>3</v>
      </c>
      <c r="F89" s="42">
        <v>12</v>
      </c>
      <c r="G89" s="1" t="s">
        <v>384</v>
      </c>
      <c r="H89" s="1" t="s">
        <v>176</v>
      </c>
      <c r="I89" s="1" t="s">
        <v>77</v>
      </c>
      <c r="J89" s="41" t="s">
        <v>443</v>
      </c>
      <c r="K89" s="43" t="s">
        <v>138</v>
      </c>
      <c r="L89" s="44">
        <v>1</v>
      </c>
      <c r="M89" s="44">
        <v>55</v>
      </c>
      <c r="N89" s="45">
        <f>MasterFile5[[#This Row],[Cost per UoM]]/MasterFile5[[#This Row],[Quantity per UoM]]</f>
        <v>55</v>
      </c>
      <c r="O89" s="1" t="s">
        <v>387</v>
      </c>
    </row>
    <row r="90" spans="1:15" ht="20.100000000000001" customHeight="1" x14ac:dyDescent="0.25">
      <c r="A90" s="1" t="s">
        <v>444</v>
      </c>
      <c r="B90" s="1" t="s">
        <v>445</v>
      </c>
      <c r="C90" s="41" t="s">
        <v>434</v>
      </c>
      <c r="D90" s="41" t="s">
        <v>446</v>
      </c>
      <c r="E90" s="42">
        <v>3</v>
      </c>
      <c r="F90" s="42">
        <v>12</v>
      </c>
      <c r="G90" s="1" t="s">
        <v>384</v>
      </c>
      <c r="H90" s="1" t="s">
        <v>176</v>
      </c>
      <c r="I90" s="1" t="s">
        <v>89</v>
      </c>
      <c r="J90" s="41" t="s">
        <v>447</v>
      </c>
      <c r="K90" s="43" t="s">
        <v>138</v>
      </c>
      <c r="L90" s="44">
        <v>1</v>
      </c>
      <c r="M90" s="44">
        <v>34</v>
      </c>
      <c r="N90" s="45">
        <f>MasterFile5[[#This Row],[Cost per UoM]]/MasterFile5[[#This Row],[Quantity per UoM]]</f>
        <v>34</v>
      </c>
      <c r="O90" s="1" t="s">
        <v>387</v>
      </c>
    </row>
    <row r="91" spans="1:15" ht="20.100000000000001" customHeight="1" x14ac:dyDescent="0.25">
      <c r="A91" s="1" t="s">
        <v>448</v>
      </c>
      <c r="B91" s="1" t="s">
        <v>449</v>
      </c>
      <c r="C91" s="41" t="s">
        <v>410</v>
      </c>
      <c r="D91" s="41" t="s">
        <v>450</v>
      </c>
      <c r="E91" s="42">
        <v>2</v>
      </c>
      <c r="F91" s="42">
        <v>8</v>
      </c>
      <c r="G91" s="1" t="s">
        <v>384</v>
      </c>
      <c r="H91" s="1" t="s">
        <v>176</v>
      </c>
      <c r="I91" s="1" t="s">
        <v>89</v>
      </c>
      <c r="J91" s="41" t="s">
        <v>451</v>
      </c>
      <c r="K91" s="43" t="s">
        <v>138</v>
      </c>
      <c r="L91" s="44">
        <v>1</v>
      </c>
      <c r="M91" s="44">
        <v>48</v>
      </c>
      <c r="N91" s="45">
        <f>MasterFile5[[#This Row],[Cost per UoM]]/MasterFile5[[#This Row],[Quantity per UoM]]</f>
        <v>48</v>
      </c>
      <c r="O91" s="1" t="s">
        <v>387</v>
      </c>
    </row>
    <row r="92" spans="1:15" ht="20.100000000000001" customHeight="1" x14ac:dyDescent="0.25">
      <c r="A92" s="1" t="s">
        <v>452</v>
      </c>
      <c r="B92" s="1" t="s">
        <v>453</v>
      </c>
      <c r="C92" s="41" t="s">
        <v>454</v>
      </c>
      <c r="D92" s="41" t="s">
        <v>455</v>
      </c>
      <c r="E92" s="42">
        <v>4</v>
      </c>
      <c r="F92" s="42">
        <v>16</v>
      </c>
      <c r="G92" s="1" t="s">
        <v>384</v>
      </c>
      <c r="H92" s="1" t="s">
        <v>196</v>
      </c>
      <c r="I92" s="1" t="s">
        <v>97</v>
      </c>
      <c r="J92" s="41" t="s">
        <v>456</v>
      </c>
      <c r="K92" s="43" t="s">
        <v>281</v>
      </c>
      <c r="L92" s="44">
        <v>1</v>
      </c>
      <c r="M92" s="44">
        <v>38</v>
      </c>
      <c r="N92" s="45">
        <f>MasterFile5[[#This Row],[Cost per UoM]]/MasterFile5[[#This Row],[Quantity per UoM]]</f>
        <v>38</v>
      </c>
      <c r="O92" s="1" t="s">
        <v>387</v>
      </c>
    </row>
    <row r="93" spans="1:15" ht="20.100000000000001" customHeight="1" x14ac:dyDescent="0.25">
      <c r="A93" s="1" t="s">
        <v>457</v>
      </c>
      <c r="B93" s="1" t="s">
        <v>458</v>
      </c>
      <c r="C93" s="41" t="s">
        <v>454</v>
      </c>
      <c r="D93" s="41" t="s">
        <v>459</v>
      </c>
      <c r="E93" s="42">
        <v>3</v>
      </c>
      <c r="F93" s="42">
        <v>12</v>
      </c>
      <c r="G93" s="1" t="s">
        <v>384</v>
      </c>
      <c r="H93" s="1" t="s">
        <v>196</v>
      </c>
      <c r="I93" s="1" t="s">
        <v>156</v>
      </c>
      <c r="J93" s="41" t="s">
        <v>460</v>
      </c>
      <c r="K93" s="43" t="s">
        <v>131</v>
      </c>
      <c r="L93" s="44">
        <v>1</v>
      </c>
      <c r="M93" s="44">
        <v>22</v>
      </c>
      <c r="N93" s="45">
        <f>MasterFile5[[#This Row],[Cost per UoM]]/MasterFile5[[#This Row],[Quantity per UoM]]</f>
        <v>22</v>
      </c>
      <c r="O93" s="1" t="s">
        <v>387</v>
      </c>
    </row>
    <row r="94" spans="1:15" ht="20.100000000000001" customHeight="1" x14ac:dyDescent="0.25">
      <c r="A94" s="1" t="s">
        <v>461</v>
      </c>
      <c r="B94" s="1" t="s">
        <v>462</v>
      </c>
      <c r="C94" s="41" t="s">
        <v>376</v>
      </c>
      <c r="D94" s="41" t="s">
        <v>463</v>
      </c>
      <c r="E94" s="42">
        <v>2</v>
      </c>
      <c r="F94" s="42">
        <v>8</v>
      </c>
      <c r="G94" s="1" t="s">
        <v>384</v>
      </c>
      <c r="H94" s="1" t="s">
        <v>302</v>
      </c>
      <c r="I94" s="1" t="s">
        <v>156</v>
      </c>
      <c r="J94" s="41" t="s">
        <v>464</v>
      </c>
      <c r="K94" s="43" t="s">
        <v>138</v>
      </c>
      <c r="L94" s="44">
        <v>1</v>
      </c>
      <c r="M94" s="44">
        <v>14</v>
      </c>
      <c r="N94" s="45">
        <f>MasterFile5[[#This Row],[Cost per UoM]]/MasterFile5[[#This Row],[Quantity per UoM]]</f>
        <v>14</v>
      </c>
      <c r="O94" s="1" t="s">
        <v>387</v>
      </c>
    </row>
  </sheetData>
  <mergeCells count="1">
    <mergeCell ref="A1:O2"/>
  </mergeCells>
  <dataValidations count="6">
    <dataValidation type="list" allowBlank="1" showInputMessage="1" showErrorMessage="1" sqref="G50:G94" xr:uid="{0FAFA7F5-523E-456D-903D-1C74EB312C44}">
      <formula1>"Texaflo Austin, Texaflo Distribution Center, Lone Star Distribution Center, Lone Star Houston, Gulf Rim Miami"</formula1>
    </dataValidation>
    <dataValidation type="list" allowBlank="1" showInputMessage="1" showErrorMessage="1" sqref="A5:A94" xr:uid="{48BC1150-8CED-4E5E-B8C2-F74B7557C5D9}">
      <formula1>$A$5:$A$94</formula1>
    </dataValidation>
    <dataValidation type="list" allowBlank="1" showInputMessage="1" showErrorMessage="1" sqref="O5:O94" xr:uid="{4D8C92A5-C899-40DE-9347-C7B5E40CE26C}">
      <formula1>"Texaflo Roasting Co., Lone Star Wholesale, Gulf Rim Distribution"</formula1>
    </dataValidation>
    <dataValidation type="list" allowBlank="1" showInputMessage="1" showErrorMessage="1" sqref="K5:K94" xr:uid="{DD2B6523-00CE-4DD0-86B8-7B83AE4E0FC3}">
      <formula1>"kg, bag, bottle, unit, sheet, roll, set, box, pack, pail, drum, jug, case, kit"</formula1>
    </dataValidation>
    <dataValidation type="list" allowBlank="1" showInputMessage="1" showErrorMessage="1" sqref="G5:G49" xr:uid="{E1FE5496-2224-489C-9204-66DE03C737EB}">
      <formula1>"Texaflo Austin, Texaflo Distribution Center"</formula1>
    </dataValidation>
    <dataValidation type="list" allowBlank="1" showInputMessage="1" showErrorMessage="1" sqref="I5:I7" xr:uid="{0AF890B3-53B3-4EC8-8547-F3580D92F9C8}">
      <formula1>"Low Movement and Cost, Moderate Movement and Importance, High Importance and Low Cost, High Value and Importance"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2]!OpenMasterEntryForm">
                <anchor moveWithCells="1" sizeWithCells="1">
                  <from>
                    <xdr:col>13</xdr:col>
                    <xdr:colOff>1295400</xdr:colOff>
                    <xdr:row>0</xdr:row>
                    <xdr:rowOff>0</xdr:rowOff>
                  </from>
                  <to>
                    <xdr:col>15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A15DD-CB69-4DEB-95C0-E4F753BA4F4C}">
  <sheetPr codeName="Sheet28">
    <pageSetUpPr fitToPage="1"/>
  </sheetPr>
  <dimension ref="A1:T54"/>
  <sheetViews>
    <sheetView topLeftCell="K1" zoomScaleNormal="100" workbookViewId="0">
      <selection activeCell="I3" sqref="I3"/>
    </sheetView>
  </sheetViews>
  <sheetFormatPr defaultRowHeight="15" x14ac:dyDescent="0.25"/>
  <cols>
    <col min="1" max="1" width="30.140625" bestFit="1" customWidth="1"/>
    <col min="2" max="2" width="11.5703125" bestFit="1" customWidth="1"/>
    <col min="3" max="3" width="22.7109375" bestFit="1" customWidth="1"/>
    <col min="4" max="4" width="8" bestFit="1" customWidth="1"/>
    <col min="5" max="5" width="67.42578125" bestFit="1" customWidth="1"/>
    <col min="6" max="6" width="16.140625" bestFit="1" customWidth="1"/>
    <col min="7" max="7" width="19.42578125" bestFit="1" customWidth="1"/>
    <col min="8" max="8" width="16.7109375" bestFit="1" customWidth="1"/>
    <col min="9" max="9" width="9.85546875" bestFit="1" customWidth="1"/>
    <col min="10" max="10" width="18.140625" bestFit="1" customWidth="1"/>
    <col min="11" max="11" width="21.140625" bestFit="1" customWidth="1"/>
    <col min="12" max="12" width="14" style="2" bestFit="1" customWidth="1"/>
    <col min="13" max="13" width="9" style="3" bestFit="1" customWidth="1"/>
    <col min="14" max="14" width="16.7109375" style="4" bestFit="1" customWidth="1"/>
    <col min="15" max="15" width="12.42578125" style="6" bestFit="1" customWidth="1"/>
    <col min="16" max="16" width="17.85546875" style="6" bestFit="1" customWidth="1"/>
    <col min="17" max="17" width="13" bestFit="1" customWidth="1"/>
    <col min="18" max="18" width="16.5703125" bestFit="1" customWidth="1"/>
    <col min="19" max="19" width="29" bestFit="1" customWidth="1"/>
  </cols>
  <sheetData>
    <row r="1" spans="1:20" x14ac:dyDescent="0.25">
      <c r="A1" s="35" t="s">
        <v>12</v>
      </c>
      <c r="B1" s="35" t="s">
        <v>11</v>
      </c>
      <c r="C1" s="36" t="s">
        <v>10</v>
      </c>
      <c r="D1" s="36" t="s">
        <v>9</v>
      </c>
      <c r="E1" s="37" t="s">
        <v>8</v>
      </c>
      <c r="F1" s="37" t="s">
        <v>7</v>
      </c>
      <c r="G1" s="36" t="s">
        <v>6</v>
      </c>
      <c r="H1" s="36" t="s">
        <v>16</v>
      </c>
      <c r="I1" s="36" t="s">
        <v>5</v>
      </c>
      <c r="J1" s="38" t="s">
        <v>4</v>
      </c>
      <c r="K1" s="36" t="s">
        <v>3</v>
      </c>
      <c r="L1" s="39" t="s">
        <v>2</v>
      </c>
      <c r="M1" s="39" t="s">
        <v>1</v>
      </c>
      <c r="N1" s="40" t="s">
        <v>0</v>
      </c>
      <c r="O1" s="36" t="s">
        <v>19</v>
      </c>
      <c r="P1" s="35" t="s">
        <v>20</v>
      </c>
      <c r="Q1" s="35" t="s">
        <v>68</v>
      </c>
      <c r="R1" s="36" t="s">
        <v>17</v>
      </c>
      <c r="S1" s="36" t="s">
        <v>33</v>
      </c>
      <c r="T1" s="37" t="s">
        <v>18</v>
      </c>
    </row>
    <row r="2" spans="1:20" x14ac:dyDescent="0.25">
      <c r="A2" t="s">
        <v>465</v>
      </c>
      <c r="B2" s="1">
        <v>46197</v>
      </c>
      <c r="C2" t="s">
        <v>13</v>
      </c>
      <c r="D2" t="s">
        <v>71</v>
      </c>
      <c r="E2" t="s">
        <v>72</v>
      </c>
      <c r="F2">
        <v>16</v>
      </c>
      <c r="G2">
        <v>200</v>
      </c>
      <c r="H2">
        <v>184</v>
      </c>
      <c r="I2" t="s">
        <v>47</v>
      </c>
      <c r="J2" t="s">
        <v>15</v>
      </c>
      <c r="K2" t="s">
        <v>76</v>
      </c>
      <c r="L2" s="2" t="s">
        <v>78</v>
      </c>
      <c r="M2" s="3" t="s">
        <v>79</v>
      </c>
      <c r="N2" s="4">
        <v>12</v>
      </c>
      <c r="O2" s="6">
        <v>6.03</v>
      </c>
      <c r="P2" s="6">
        <v>1157.76</v>
      </c>
      <c r="Q2" s="6">
        <v>72.36</v>
      </c>
      <c r="S2" t="s">
        <v>466</v>
      </c>
    </row>
    <row r="3" spans="1:20" x14ac:dyDescent="0.25">
      <c r="A3" t="s">
        <v>467</v>
      </c>
      <c r="B3" s="1">
        <v>46197</v>
      </c>
      <c r="C3" t="s">
        <v>13</v>
      </c>
      <c r="D3" t="s">
        <v>91</v>
      </c>
      <c r="E3" t="s">
        <v>92</v>
      </c>
      <c r="F3">
        <v>9.5</v>
      </c>
      <c r="G3">
        <v>120</v>
      </c>
      <c r="H3">
        <v>110.5</v>
      </c>
      <c r="I3" t="s">
        <v>47</v>
      </c>
      <c r="J3" t="s">
        <v>15</v>
      </c>
      <c r="K3" t="s">
        <v>88</v>
      </c>
      <c r="L3" s="2" t="s">
        <v>93</v>
      </c>
      <c r="M3" s="3" t="s">
        <v>79</v>
      </c>
      <c r="N3" s="4">
        <v>6</v>
      </c>
      <c r="O3" s="6">
        <v>0.91333333333333344</v>
      </c>
      <c r="P3" s="6">
        <v>104.12</v>
      </c>
      <c r="Q3" s="6">
        <v>5.48</v>
      </c>
      <c r="S3" t="s">
        <v>468</v>
      </c>
    </row>
    <row r="4" spans="1:20" x14ac:dyDescent="0.25">
      <c r="A4" t="s">
        <v>469</v>
      </c>
      <c r="B4" s="1">
        <v>46197</v>
      </c>
      <c r="C4" t="s">
        <v>13</v>
      </c>
      <c r="D4" t="s">
        <v>94</v>
      </c>
      <c r="E4" t="s">
        <v>95</v>
      </c>
      <c r="F4">
        <v>62</v>
      </c>
      <c r="G4">
        <v>320</v>
      </c>
      <c r="H4">
        <v>258</v>
      </c>
      <c r="I4" t="s">
        <v>47</v>
      </c>
      <c r="J4" t="s">
        <v>15</v>
      </c>
      <c r="K4" t="s">
        <v>96</v>
      </c>
      <c r="L4" s="2" t="s">
        <v>98</v>
      </c>
      <c r="M4" s="3" t="s">
        <v>79</v>
      </c>
      <c r="N4" s="4">
        <v>72</v>
      </c>
      <c r="O4" s="6">
        <v>1.8245833333333334</v>
      </c>
      <c r="P4" s="6">
        <v>525.48</v>
      </c>
      <c r="Q4" s="6">
        <v>131.37</v>
      </c>
      <c r="S4" t="s">
        <v>470</v>
      </c>
    </row>
    <row r="5" spans="1:20" x14ac:dyDescent="0.25">
      <c r="A5" t="s">
        <v>471</v>
      </c>
      <c r="B5" s="1">
        <v>46197</v>
      </c>
      <c r="C5" t="s">
        <v>13</v>
      </c>
      <c r="D5" t="s">
        <v>139</v>
      </c>
      <c r="E5" t="s">
        <v>140</v>
      </c>
      <c r="F5">
        <v>0</v>
      </c>
      <c r="G5">
        <v>1600</v>
      </c>
      <c r="H5">
        <v>1600</v>
      </c>
      <c r="I5" t="s">
        <v>47</v>
      </c>
      <c r="J5" t="s">
        <v>14</v>
      </c>
      <c r="K5" t="s">
        <v>136</v>
      </c>
      <c r="L5" s="2" t="s">
        <v>141</v>
      </c>
      <c r="M5" s="3" t="s">
        <v>138</v>
      </c>
      <c r="N5" s="4">
        <v>4</v>
      </c>
      <c r="O5" s="6">
        <v>1.395</v>
      </c>
      <c r="P5" s="6">
        <v>2232</v>
      </c>
      <c r="Q5" s="6">
        <v>5.58</v>
      </c>
      <c r="S5" t="s">
        <v>487</v>
      </c>
    </row>
    <row r="6" spans="1:20" x14ac:dyDescent="0.25">
      <c r="A6" t="s">
        <v>472</v>
      </c>
      <c r="B6" s="1">
        <v>46197</v>
      </c>
      <c r="C6" t="s">
        <v>13</v>
      </c>
      <c r="D6" t="s">
        <v>142</v>
      </c>
      <c r="E6" t="s">
        <v>143</v>
      </c>
      <c r="F6">
        <v>33</v>
      </c>
      <c r="G6">
        <v>1200</v>
      </c>
      <c r="H6">
        <v>1167</v>
      </c>
      <c r="I6" t="s">
        <v>47</v>
      </c>
      <c r="J6" t="s">
        <v>15</v>
      </c>
      <c r="K6" t="s">
        <v>136</v>
      </c>
      <c r="L6" s="2" t="s">
        <v>144</v>
      </c>
      <c r="M6" s="3" t="s">
        <v>138</v>
      </c>
      <c r="N6" s="4">
        <v>33</v>
      </c>
      <c r="O6" s="6">
        <v>1.4100000000000001</v>
      </c>
      <c r="P6" s="6">
        <v>1675.08</v>
      </c>
      <c r="Q6" s="6">
        <v>46.53</v>
      </c>
      <c r="S6" t="s">
        <v>480</v>
      </c>
    </row>
    <row r="7" spans="1:20" x14ac:dyDescent="0.25">
      <c r="A7" t="s">
        <v>473</v>
      </c>
      <c r="B7" s="1">
        <v>46197</v>
      </c>
      <c r="C7" t="s">
        <v>13</v>
      </c>
      <c r="D7" t="s">
        <v>158</v>
      </c>
      <c r="E7" t="s">
        <v>159</v>
      </c>
      <c r="F7">
        <v>3</v>
      </c>
      <c r="G7">
        <v>600</v>
      </c>
      <c r="H7">
        <v>597</v>
      </c>
      <c r="I7" t="s">
        <v>47</v>
      </c>
      <c r="J7" t="s">
        <v>15</v>
      </c>
      <c r="K7" t="s">
        <v>136</v>
      </c>
      <c r="L7" s="2" t="s">
        <v>160</v>
      </c>
      <c r="M7" s="3" t="s">
        <v>138</v>
      </c>
      <c r="N7" s="4">
        <v>2</v>
      </c>
      <c r="O7" s="6">
        <v>1.4999999999999999E-2</v>
      </c>
      <c r="P7" s="6">
        <v>8.9700000000000006</v>
      </c>
      <c r="Q7" s="6">
        <v>0.03</v>
      </c>
      <c r="S7" t="s">
        <v>481</v>
      </c>
    </row>
    <row r="8" spans="1:20" x14ac:dyDescent="0.25">
      <c r="A8" t="s">
        <v>474</v>
      </c>
      <c r="B8" s="1">
        <v>46197</v>
      </c>
      <c r="C8" t="s">
        <v>13</v>
      </c>
      <c r="D8" t="s">
        <v>282</v>
      </c>
      <c r="E8" t="s">
        <v>283</v>
      </c>
      <c r="F8">
        <v>8</v>
      </c>
      <c r="G8">
        <v>60</v>
      </c>
      <c r="H8">
        <v>52</v>
      </c>
      <c r="I8" t="s">
        <v>47</v>
      </c>
      <c r="J8" t="s">
        <v>15</v>
      </c>
      <c r="K8" t="s">
        <v>268</v>
      </c>
      <c r="L8" s="2" t="s">
        <v>286</v>
      </c>
      <c r="M8" s="3" t="s">
        <v>281</v>
      </c>
      <c r="N8" s="4">
        <v>4</v>
      </c>
      <c r="O8" s="6">
        <v>12</v>
      </c>
      <c r="P8" s="6">
        <v>624</v>
      </c>
      <c r="Q8" s="6">
        <v>48</v>
      </c>
      <c r="S8" t="s">
        <v>488</v>
      </c>
    </row>
    <row r="9" spans="1:20" x14ac:dyDescent="0.25">
      <c r="B9" s="1"/>
      <c r="Q9" s="6"/>
    </row>
    <row r="10" spans="1:20" x14ac:dyDescent="0.25">
      <c r="B10" s="1"/>
      <c r="Q10" s="6"/>
    </row>
    <row r="11" spans="1:20" x14ac:dyDescent="0.25">
      <c r="B11" s="1"/>
      <c r="Q11" s="6"/>
    </row>
    <row r="12" spans="1:20" x14ac:dyDescent="0.25">
      <c r="B12" s="1"/>
      <c r="Q12" s="6"/>
    </row>
    <row r="13" spans="1:20" x14ac:dyDescent="0.25">
      <c r="B13" s="1"/>
      <c r="Q13" s="6"/>
    </row>
    <row r="14" spans="1:20" x14ac:dyDescent="0.25">
      <c r="B14" s="1"/>
      <c r="Q14" s="6"/>
    </row>
    <row r="15" spans="1:20" x14ac:dyDescent="0.25">
      <c r="B15" s="1"/>
      <c r="Q15" s="6"/>
    </row>
    <row r="16" spans="1:20" x14ac:dyDescent="0.25">
      <c r="B16" s="1"/>
      <c r="Q16" s="6"/>
    </row>
    <row r="17" spans="2:17" x14ac:dyDescent="0.25">
      <c r="B17" s="1"/>
      <c r="Q17" s="6"/>
    </row>
    <row r="18" spans="2:17" x14ac:dyDescent="0.25">
      <c r="B18" s="1"/>
      <c r="Q18" s="6"/>
    </row>
    <row r="19" spans="2:17" x14ac:dyDescent="0.25">
      <c r="B19" s="1"/>
      <c r="Q19" s="6"/>
    </row>
    <row r="20" spans="2:17" x14ac:dyDescent="0.25">
      <c r="B20" s="1"/>
      <c r="Q20" s="6"/>
    </row>
    <row r="21" spans="2:17" x14ac:dyDescent="0.25">
      <c r="B21" s="1"/>
      <c r="Q21" s="6"/>
    </row>
    <row r="22" spans="2:17" x14ac:dyDescent="0.25">
      <c r="B22" s="1"/>
      <c r="Q22" s="6"/>
    </row>
    <row r="23" spans="2:17" x14ac:dyDescent="0.25">
      <c r="B23" s="1"/>
      <c r="Q23" s="6"/>
    </row>
    <row r="24" spans="2:17" x14ac:dyDescent="0.25">
      <c r="B24" s="1"/>
      <c r="Q24" s="6"/>
    </row>
    <row r="25" spans="2:17" x14ac:dyDescent="0.25">
      <c r="B25" s="1"/>
      <c r="Q25" s="6"/>
    </row>
    <row r="26" spans="2:17" x14ac:dyDescent="0.25">
      <c r="B26" s="1"/>
      <c r="Q26" s="6"/>
    </row>
    <row r="27" spans="2:17" x14ac:dyDescent="0.25">
      <c r="B27" s="1"/>
      <c r="Q27" s="6"/>
    </row>
    <row r="28" spans="2:17" x14ac:dyDescent="0.25">
      <c r="B28" s="1"/>
      <c r="Q28" s="6"/>
    </row>
    <row r="29" spans="2:17" x14ac:dyDescent="0.25">
      <c r="B29" s="1"/>
      <c r="Q29" s="6"/>
    </row>
    <row r="30" spans="2:17" x14ac:dyDescent="0.25">
      <c r="B30" s="1"/>
      <c r="Q30" s="6"/>
    </row>
    <row r="31" spans="2:17" x14ac:dyDescent="0.25">
      <c r="B31" s="1"/>
      <c r="Q31" s="6"/>
    </row>
    <row r="32" spans="2:17" x14ac:dyDescent="0.25">
      <c r="B32" s="1"/>
      <c r="Q32" s="6"/>
    </row>
    <row r="33" spans="2:17" x14ac:dyDescent="0.25">
      <c r="B33" s="1"/>
      <c r="Q33" s="6"/>
    </row>
    <row r="34" spans="2:17" x14ac:dyDescent="0.25">
      <c r="B34" s="1"/>
      <c r="Q34" s="6"/>
    </row>
    <row r="35" spans="2:17" x14ac:dyDescent="0.25">
      <c r="B35" s="1"/>
      <c r="Q35" s="6"/>
    </row>
    <row r="36" spans="2:17" x14ac:dyDescent="0.25">
      <c r="B36" s="1"/>
      <c r="Q36" s="6"/>
    </row>
    <row r="37" spans="2:17" x14ac:dyDescent="0.25">
      <c r="B37" s="1"/>
      <c r="Q37" s="6"/>
    </row>
    <row r="38" spans="2:17" x14ac:dyDescent="0.25">
      <c r="B38" s="1"/>
      <c r="Q38" s="6"/>
    </row>
    <row r="39" spans="2:17" x14ac:dyDescent="0.25">
      <c r="B39" s="1"/>
      <c r="Q39" s="6"/>
    </row>
    <row r="40" spans="2:17" x14ac:dyDescent="0.25">
      <c r="B40" s="1"/>
      <c r="Q40" s="6"/>
    </row>
    <row r="41" spans="2:17" x14ac:dyDescent="0.25">
      <c r="B41" s="1"/>
      <c r="Q41" s="6"/>
    </row>
    <row r="42" spans="2:17" x14ac:dyDescent="0.25">
      <c r="B42" s="1"/>
      <c r="Q42" s="6"/>
    </row>
    <row r="43" spans="2:17" x14ac:dyDescent="0.25">
      <c r="B43" s="1"/>
      <c r="Q43" s="6"/>
    </row>
    <row r="44" spans="2:17" x14ac:dyDescent="0.25">
      <c r="B44" s="1"/>
      <c r="Q44" s="6"/>
    </row>
    <row r="45" spans="2:17" x14ac:dyDescent="0.25">
      <c r="B45" s="1"/>
      <c r="Q45" s="6"/>
    </row>
    <row r="46" spans="2:17" x14ac:dyDescent="0.25">
      <c r="B46" s="1"/>
      <c r="Q46" s="6"/>
    </row>
    <row r="47" spans="2:17" x14ac:dyDescent="0.25">
      <c r="B47" s="1"/>
      <c r="Q47" s="6"/>
    </row>
    <row r="48" spans="2:17" x14ac:dyDescent="0.25">
      <c r="B48" s="1"/>
      <c r="Q48" s="6"/>
    </row>
    <row r="49" spans="2:17" x14ac:dyDescent="0.25">
      <c r="B49" s="1"/>
      <c r="Q49" s="6"/>
    </row>
    <row r="50" spans="2:17" x14ac:dyDescent="0.25">
      <c r="B50" s="1"/>
      <c r="Q50" s="6"/>
    </row>
    <row r="51" spans="2:17" x14ac:dyDescent="0.25">
      <c r="B51" s="1"/>
      <c r="Q51" s="6"/>
    </row>
    <row r="52" spans="2:17" x14ac:dyDescent="0.25">
      <c r="B52" s="1"/>
    </row>
    <row r="53" spans="2:17" x14ac:dyDescent="0.25">
      <c r="B53" s="1"/>
    </row>
    <row r="54" spans="2:17" x14ac:dyDescent="0.25">
      <c r="B54" s="1"/>
    </row>
  </sheetData>
  <dataValidations count="2">
    <dataValidation type="list" allowBlank="1" showInputMessage="1" showErrorMessage="1" sqref="I2:I8" xr:uid="{C2BB3654-B263-47E3-B96E-950B7C73C75A}">
      <formula1>"Pending, Approved, Closed"</formula1>
    </dataValidation>
    <dataValidation type="list" allowBlank="1" showInputMessage="1" showErrorMessage="1" sqref="D2:D8" xr:uid="{32A7B9B7-C911-4AE8-BC8D-8A8CB5B2AE5C}">
      <formula1>#REF!</formula1>
    </dataValidation>
  </dataValidations>
  <pageMargins left="0.7" right="0.7" top="0.75" bottom="0.75" header="0.3" footer="0.3"/>
  <pageSetup scale="3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PRfromInventory_NoDuplicates_AutoClose">
                <anchor moveWithCells="1" sizeWithCells="1">
                  <from>
                    <xdr:col>21</xdr:col>
                    <xdr:colOff>19050</xdr:colOff>
                    <xdr:row>1</xdr:row>
                    <xdr:rowOff>9525</xdr:rowOff>
                  </from>
                  <to>
                    <xdr:col>23</xdr:col>
                    <xdr:colOff>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Generate_Finance_And_PO_Tricurrent">
                <anchor moveWithCells="1" sizeWithCells="1">
                  <from>
                    <xdr:col>23</xdr:col>
                    <xdr:colOff>590550</xdr:colOff>
                    <xdr:row>0</xdr:row>
                    <xdr:rowOff>161925</xdr:rowOff>
                  </from>
                  <to>
                    <xdr:col>27</xdr:col>
                    <xdr:colOff>314325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GeneratePOs_Professional_Final">
                <anchor moveWithCells="1" sizeWithCells="1">
                  <from>
                    <xdr:col>28</xdr:col>
                    <xdr:colOff>19050</xdr:colOff>
                    <xdr:row>0</xdr:row>
                    <xdr:rowOff>142875</xdr:rowOff>
                  </from>
                  <to>
                    <xdr:col>29</xdr:col>
                    <xdr:colOff>390525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CB8BA-18F3-498A-A166-1E1EAD6EADD5}">
  <sheetPr codeName="Sheet4">
    <pageSetUpPr fitToPage="1"/>
  </sheetPr>
  <dimension ref="A1:L29"/>
  <sheetViews>
    <sheetView zoomScale="60" zoomScaleNormal="60" workbookViewId="0">
      <selection activeCell="I17" sqref="I17"/>
    </sheetView>
  </sheetViews>
  <sheetFormatPr defaultRowHeight="15" x14ac:dyDescent="0.25"/>
  <cols>
    <col min="1" max="1" width="40.140625" bestFit="1" customWidth="1"/>
    <col min="2" max="2" width="42.85546875" style="8" bestFit="1" customWidth="1"/>
    <col min="3" max="3" width="29.7109375" bestFit="1" customWidth="1"/>
    <col min="4" max="4" width="44.7109375" bestFit="1" customWidth="1"/>
    <col min="5" max="5" width="43.42578125" bestFit="1" customWidth="1"/>
    <col min="6" max="6" width="8.85546875" bestFit="1" customWidth="1"/>
    <col min="7" max="7" width="14.7109375" bestFit="1" customWidth="1"/>
    <col min="8" max="8" width="19.140625" bestFit="1" customWidth="1"/>
    <col min="9" max="9" width="40.42578125" bestFit="1" customWidth="1"/>
    <col min="10" max="10" width="24.140625" bestFit="1" customWidth="1"/>
    <col min="11" max="11" width="25.140625" bestFit="1" customWidth="1"/>
    <col min="12" max="12" width="40.140625" bestFit="1" customWidth="1"/>
    <col min="13" max="13" width="60.7109375" customWidth="1"/>
    <col min="14" max="14" width="35.28515625" bestFit="1" customWidth="1"/>
  </cols>
  <sheetData>
    <row r="1" spans="1:12" ht="27.95" customHeight="1" x14ac:dyDescent="0.25">
      <c r="A1" s="54" t="s">
        <v>475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</row>
    <row r="2" spans="1:12" ht="27.95" customHeight="1" x14ac:dyDescent="0.25">
      <c r="A2" s="54"/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</row>
    <row r="4" spans="1:12" s="13" customFormat="1" ht="26.25" x14ac:dyDescent="0.4">
      <c r="A4" s="11" t="s">
        <v>21</v>
      </c>
      <c r="B4" s="12" t="s">
        <v>486</v>
      </c>
      <c r="I4" s="14" t="s">
        <v>26</v>
      </c>
      <c r="J4" s="13">
        <v>5</v>
      </c>
    </row>
    <row r="5" spans="1:12" s="13" customFormat="1" ht="26.25" x14ac:dyDescent="0.4">
      <c r="A5" s="11" t="s">
        <v>22</v>
      </c>
      <c r="B5" s="15">
        <v>46197</v>
      </c>
      <c r="I5" s="14" t="s">
        <v>27</v>
      </c>
      <c r="J5" s="16">
        <v>5694.4409999999998</v>
      </c>
    </row>
    <row r="6" spans="1:12" s="13" customFormat="1" ht="26.25" x14ac:dyDescent="0.4">
      <c r="A6" s="11" t="s">
        <v>23</v>
      </c>
      <c r="B6" s="12" t="s">
        <v>24</v>
      </c>
    </row>
    <row r="7" spans="1:12" s="13" customFormat="1" ht="26.25" x14ac:dyDescent="0.4">
      <c r="A7" s="11" t="s">
        <v>25</v>
      </c>
      <c r="B7" s="51" t="s">
        <v>492</v>
      </c>
    </row>
    <row r="9" spans="1:12" ht="12" customHeight="1" x14ac:dyDescent="0.25"/>
    <row r="10" spans="1:12" s="18" customFormat="1" ht="39.950000000000003" customHeight="1" x14ac:dyDescent="0.35">
      <c r="A10" s="19" t="s">
        <v>3</v>
      </c>
      <c r="B10" s="20" t="s">
        <v>9</v>
      </c>
      <c r="C10" s="19" t="s">
        <v>8</v>
      </c>
      <c r="D10" s="19" t="s">
        <v>46</v>
      </c>
      <c r="E10" s="19" t="s">
        <v>33</v>
      </c>
      <c r="F10" s="19" t="s">
        <v>1</v>
      </c>
      <c r="G10" s="19" t="s">
        <v>36</v>
      </c>
      <c r="H10" s="19" t="s">
        <v>28</v>
      </c>
      <c r="I10" s="19" t="s">
        <v>69</v>
      </c>
      <c r="J10" s="19" t="s">
        <v>20</v>
      </c>
      <c r="K10" s="19" t="s">
        <v>29</v>
      </c>
      <c r="L10" s="19" t="s">
        <v>30</v>
      </c>
    </row>
    <row r="11" spans="1:12" ht="39.950000000000003" customHeight="1" x14ac:dyDescent="0.25">
      <c r="A11" s="7" t="s">
        <v>76</v>
      </c>
      <c r="B11" s="9" t="s">
        <v>71</v>
      </c>
      <c r="C11" s="7" t="s">
        <v>72</v>
      </c>
      <c r="D11" s="17">
        <v>184</v>
      </c>
      <c r="E11" s="17" t="s">
        <v>489</v>
      </c>
      <c r="F11" s="17" t="s">
        <v>79</v>
      </c>
      <c r="G11" s="17">
        <v>12</v>
      </c>
      <c r="H11" s="10">
        <v>6.03</v>
      </c>
      <c r="I11" s="10">
        <v>72.36</v>
      </c>
      <c r="J11" s="10">
        <v>1157.76</v>
      </c>
      <c r="K11" s="17" t="s">
        <v>15</v>
      </c>
      <c r="L11" s="17" t="s">
        <v>477</v>
      </c>
    </row>
    <row r="12" spans="1:12" ht="39.950000000000003" customHeight="1" x14ac:dyDescent="0.25">
      <c r="A12" s="7" t="s">
        <v>88</v>
      </c>
      <c r="B12" s="9" t="s">
        <v>91</v>
      </c>
      <c r="C12" s="7" t="s">
        <v>92</v>
      </c>
      <c r="D12" s="17">
        <v>110.5</v>
      </c>
      <c r="E12" s="17" t="s">
        <v>490</v>
      </c>
      <c r="F12" s="17" t="s">
        <v>79</v>
      </c>
      <c r="G12" s="17">
        <v>6</v>
      </c>
      <c r="H12" s="10">
        <v>0.9133</v>
      </c>
      <c r="I12" s="10">
        <v>5.48</v>
      </c>
      <c r="J12" s="10">
        <v>104.11620000000001</v>
      </c>
      <c r="K12" s="17" t="s">
        <v>15</v>
      </c>
      <c r="L12" s="17" t="s">
        <v>477</v>
      </c>
    </row>
    <row r="13" spans="1:12" ht="39.950000000000003" customHeight="1" x14ac:dyDescent="0.25">
      <c r="A13" s="7" t="s">
        <v>96</v>
      </c>
      <c r="B13" s="9" t="s">
        <v>94</v>
      </c>
      <c r="C13" s="7" t="s">
        <v>95</v>
      </c>
      <c r="D13" s="17">
        <v>258</v>
      </c>
      <c r="E13" s="17" t="s">
        <v>491</v>
      </c>
      <c r="F13" s="17" t="s">
        <v>79</v>
      </c>
      <c r="G13" s="17">
        <v>72</v>
      </c>
      <c r="H13" s="10">
        <v>1.8246</v>
      </c>
      <c r="I13" s="10">
        <v>131.37</v>
      </c>
      <c r="J13" s="10">
        <v>525.48479999999995</v>
      </c>
      <c r="K13" s="17" t="s">
        <v>15</v>
      </c>
      <c r="L13" s="17" t="s">
        <v>477</v>
      </c>
    </row>
    <row r="14" spans="1:12" ht="39.950000000000003" customHeight="1" x14ac:dyDescent="0.25">
      <c r="A14" s="7" t="s">
        <v>136</v>
      </c>
      <c r="B14" s="9" t="s">
        <v>139</v>
      </c>
      <c r="C14" s="7" t="s">
        <v>140</v>
      </c>
      <c r="D14" s="17">
        <v>1600</v>
      </c>
      <c r="E14" s="17" t="s">
        <v>487</v>
      </c>
      <c r="F14" s="17" t="s">
        <v>138</v>
      </c>
      <c r="G14" s="17">
        <v>4</v>
      </c>
      <c r="H14" s="10">
        <v>1.395</v>
      </c>
      <c r="I14" s="10">
        <v>5.58</v>
      </c>
      <c r="J14" s="10">
        <v>2232</v>
      </c>
      <c r="K14" s="17" t="s">
        <v>14</v>
      </c>
      <c r="L14" s="17" t="s">
        <v>477</v>
      </c>
    </row>
    <row r="15" spans="1:12" ht="39.950000000000003" customHeight="1" x14ac:dyDescent="0.25">
      <c r="A15" s="7" t="s">
        <v>136</v>
      </c>
      <c r="B15" s="9" t="s">
        <v>142</v>
      </c>
      <c r="C15" s="7" t="s">
        <v>143</v>
      </c>
      <c r="D15" s="17">
        <v>1167</v>
      </c>
      <c r="E15" s="17" t="s">
        <v>480</v>
      </c>
      <c r="F15" s="17" t="s">
        <v>138</v>
      </c>
      <c r="G15" s="17">
        <v>33</v>
      </c>
      <c r="H15" s="10">
        <v>1.41</v>
      </c>
      <c r="I15" s="10">
        <v>46.53</v>
      </c>
      <c r="J15" s="10">
        <v>1675.08</v>
      </c>
      <c r="K15" s="17" t="s">
        <v>15</v>
      </c>
      <c r="L15" s="17" t="s">
        <v>477</v>
      </c>
    </row>
    <row r="16" spans="1:12" ht="60" customHeight="1" x14ac:dyDescent="0.25"/>
    <row r="17" spans="1:3" ht="60" customHeight="1" x14ac:dyDescent="0.25"/>
    <row r="18" spans="1:3" ht="60" customHeight="1" x14ac:dyDescent="0.25"/>
    <row r="19" spans="1:3" ht="60" customHeight="1" x14ac:dyDescent="0.25"/>
    <row r="20" spans="1:3" ht="60" customHeight="1" x14ac:dyDescent="0.25"/>
    <row r="21" spans="1:3" ht="60" customHeight="1" x14ac:dyDescent="0.25">
      <c r="A21" s="21" t="s">
        <v>31</v>
      </c>
      <c r="B21" s="22" t="s">
        <v>477</v>
      </c>
      <c r="C21" s="21" t="s">
        <v>35</v>
      </c>
    </row>
    <row r="22" spans="1:3" ht="60" customHeight="1" x14ac:dyDescent="0.25">
      <c r="A22" s="21" t="s">
        <v>25</v>
      </c>
      <c r="B22" s="22" t="s">
        <v>478</v>
      </c>
      <c r="C22" s="21" t="s">
        <v>35</v>
      </c>
    </row>
    <row r="23" spans="1:3" ht="60" customHeight="1" x14ac:dyDescent="0.25">
      <c r="A23" s="21" t="s">
        <v>32</v>
      </c>
      <c r="B23" s="22" t="s">
        <v>479</v>
      </c>
      <c r="C23" s="21" t="s">
        <v>35</v>
      </c>
    </row>
    <row r="24" spans="1:3" ht="60" customHeight="1" x14ac:dyDescent="0.25"/>
    <row r="25" spans="1:3" ht="80.25" customHeight="1" x14ac:dyDescent="0.25"/>
    <row r="26" spans="1:3" ht="80.25" customHeight="1" x14ac:dyDescent="0.25"/>
    <row r="27" spans="1:3" ht="60" customHeight="1" x14ac:dyDescent="0.25"/>
    <row r="28" spans="1:3" ht="60" customHeight="1" x14ac:dyDescent="0.25"/>
    <row r="29" spans="1:3" ht="60" customHeight="1" x14ac:dyDescent="0.25"/>
  </sheetData>
  <mergeCells count="1">
    <mergeCell ref="A1:L2"/>
  </mergeCells>
  <printOptions horizontalCentered="1"/>
  <pageMargins left="0.35" right="0.35" top="0.4" bottom="0.4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0E3B7-E730-412F-B91E-16D7D0F73A70}">
  <sheetPr codeName="Sheet29"/>
  <dimension ref="A1:E20"/>
  <sheetViews>
    <sheetView workbookViewId="0">
      <selection sqref="A1:E1"/>
    </sheetView>
  </sheetViews>
  <sheetFormatPr defaultRowHeight="15" x14ac:dyDescent="0.25"/>
  <cols>
    <col min="1" max="1" width="23.7109375" bestFit="1" customWidth="1"/>
    <col min="2" max="2" width="24.28515625" bestFit="1" customWidth="1"/>
    <col min="3" max="3" width="10.42578125" bestFit="1" customWidth="1"/>
    <col min="4" max="4" width="10" bestFit="1" customWidth="1"/>
    <col min="5" max="5" width="18.5703125" bestFit="1" customWidth="1"/>
  </cols>
  <sheetData>
    <row r="1" spans="1:5" ht="28.5" x14ac:dyDescent="0.25">
      <c r="A1" s="55" t="s">
        <v>37</v>
      </c>
      <c r="B1" s="55"/>
      <c r="C1" s="55"/>
      <c r="D1" s="55"/>
      <c r="E1" s="55"/>
    </row>
    <row r="3" spans="1:5" x14ac:dyDescent="0.25">
      <c r="A3" t="s">
        <v>136</v>
      </c>
      <c r="D3" t="s">
        <v>35</v>
      </c>
      <c r="E3" s="25"/>
    </row>
    <row r="4" spans="1:5" x14ac:dyDescent="0.25">
      <c r="D4" t="s">
        <v>45</v>
      </c>
      <c r="E4" s="25"/>
    </row>
    <row r="5" spans="1:5" x14ac:dyDescent="0.25">
      <c r="D5" t="s">
        <v>40</v>
      </c>
      <c r="E5" s="25"/>
    </row>
    <row r="8" spans="1:5" x14ac:dyDescent="0.25">
      <c r="A8" s="5" t="s">
        <v>38</v>
      </c>
      <c r="E8" s="5" t="s">
        <v>39</v>
      </c>
    </row>
    <row r="9" spans="1:5" x14ac:dyDescent="0.25">
      <c r="A9" t="s">
        <v>483</v>
      </c>
      <c r="E9" t="s">
        <v>483</v>
      </c>
    </row>
    <row r="10" spans="1:5" x14ac:dyDescent="0.25">
      <c r="A10" t="s">
        <v>484</v>
      </c>
      <c r="E10" t="s">
        <v>484</v>
      </c>
    </row>
    <row r="11" spans="1:5" x14ac:dyDescent="0.25">
      <c r="A11" t="s">
        <v>485</v>
      </c>
      <c r="E11" t="s">
        <v>485</v>
      </c>
    </row>
    <row r="15" spans="1:5" x14ac:dyDescent="0.25">
      <c r="A15" s="23" t="s">
        <v>55</v>
      </c>
      <c r="D15" s="5" t="s">
        <v>41</v>
      </c>
      <c r="E15" s="6">
        <v>52.11</v>
      </c>
    </row>
    <row r="16" spans="1:5" x14ac:dyDescent="0.25">
      <c r="A16" s="23" t="s">
        <v>56</v>
      </c>
    </row>
    <row r="18" spans="1:5" x14ac:dyDescent="0.25">
      <c r="A18" s="26" t="s">
        <v>2</v>
      </c>
      <c r="B18" s="26" t="s">
        <v>42</v>
      </c>
      <c r="C18" s="26" t="s">
        <v>43</v>
      </c>
      <c r="D18" s="26" t="s">
        <v>50</v>
      </c>
      <c r="E18" s="26" t="s">
        <v>44</v>
      </c>
    </row>
    <row r="19" spans="1:5" x14ac:dyDescent="0.25">
      <c r="A19" s="27" t="s">
        <v>141</v>
      </c>
      <c r="B19" s="27" t="s">
        <v>140</v>
      </c>
      <c r="C19" s="28">
        <v>5.58</v>
      </c>
      <c r="D19" s="27">
        <v>400</v>
      </c>
      <c r="E19" s="28">
        <v>5.58</v>
      </c>
    </row>
    <row r="20" spans="1:5" x14ac:dyDescent="0.25">
      <c r="A20" s="27" t="s">
        <v>144</v>
      </c>
      <c r="B20" s="27" t="s">
        <v>143</v>
      </c>
      <c r="C20" s="28">
        <v>46.53</v>
      </c>
      <c r="D20" s="27">
        <v>36</v>
      </c>
      <c r="E20" s="28">
        <v>46.53</v>
      </c>
    </row>
  </sheetData>
  <mergeCells count="1">
    <mergeCell ref="A1:E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CDE82F-C74E-4FD9-A991-8602A1ADFD44}">
  <sheetPr codeName="Sheet30"/>
  <dimension ref="A1:E19"/>
  <sheetViews>
    <sheetView workbookViewId="0">
      <selection sqref="A1:E1"/>
    </sheetView>
  </sheetViews>
  <sheetFormatPr defaultRowHeight="15" x14ac:dyDescent="0.25"/>
  <cols>
    <col min="1" max="1" width="23.7109375" bestFit="1" customWidth="1"/>
    <col min="2" max="2" width="20.5703125" bestFit="1" customWidth="1"/>
    <col min="3" max="3" width="10.42578125" bestFit="1" customWidth="1"/>
    <col min="4" max="4" width="10" bestFit="1" customWidth="1"/>
    <col min="5" max="5" width="18.5703125" bestFit="1" customWidth="1"/>
  </cols>
  <sheetData>
    <row r="1" spans="1:5" ht="28.5" x14ac:dyDescent="0.25">
      <c r="A1" s="55" t="s">
        <v>37</v>
      </c>
      <c r="B1" s="55"/>
      <c r="C1" s="55"/>
      <c r="D1" s="55"/>
      <c r="E1" s="55"/>
    </row>
    <row r="3" spans="1:5" x14ac:dyDescent="0.25">
      <c r="A3" t="s">
        <v>96</v>
      </c>
      <c r="D3" t="s">
        <v>35</v>
      </c>
      <c r="E3" s="25"/>
    </row>
    <row r="4" spans="1:5" x14ac:dyDescent="0.25">
      <c r="D4" t="s">
        <v>45</v>
      </c>
      <c r="E4" s="25"/>
    </row>
    <row r="5" spans="1:5" x14ac:dyDescent="0.25">
      <c r="D5" t="s">
        <v>40</v>
      </c>
      <c r="E5" s="25"/>
    </row>
    <row r="8" spans="1:5" x14ac:dyDescent="0.25">
      <c r="A8" s="5" t="s">
        <v>38</v>
      </c>
      <c r="E8" s="5" t="s">
        <v>39</v>
      </c>
    </row>
    <row r="9" spans="1:5" x14ac:dyDescent="0.25">
      <c r="A9" t="s">
        <v>483</v>
      </c>
      <c r="E9" t="s">
        <v>483</v>
      </c>
    </row>
    <row r="10" spans="1:5" x14ac:dyDescent="0.25">
      <c r="A10" t="s">
        <v>484</v>
      </c>
      <c r="E10" t="s">
        <v>484</v>
      </c>
    </row>
    <row r="11" spans="1:5" x14ac:dyDescent="0.25">
      <c r="A11" t="s">
        <v>485</v>
      </c>
      <c r="E11" t="s">
        <v>485</v>
      </c>
    </row>
    <row r="15" spans="1:5" x14ac:dyDescent="0.25">
      <c r="A15" s="23" t="s">
        <v>55</v>
      </c>
      <c r="D15" s="5" t="s">
        <v>41</v>
      </c>
      <c r="E15" s="6">
        <v>131.37</v>
      </c>
    </row>
    <row r="16" spans="1:5" x14ac:dyDescent="0.25">
      <c r="A16" s="23" t="s">
        <v>56</v>
      </c>
    </row>
    <row r="18" spans="1:5" x14ac:dyDescent="0.25">
      <c r="A18" s="26" t="s">
        <v>2</v>
      </c>
      <c r="B18" s="26" t="s">
        <v>42</v>
      </c>
      <c r="C18" s="26" t="s">
        <v>43</v>
      </c>
      <c r="D18" s="26" t="s">
        <v>50</v>
      </c>
      <c r="E18" s="26" t="s">
        <v>44</v>
      </c>
    </row>
    <row r="19" spans="1:5" x14ac:dyDescent="0.25">
      <c r="A19" s="27"/>
      <c r="B19" s="27" t="s">
        <v>95</v>
      </c>
      <c r="C19" s="28">
        <v>0</v>
      </c>
      <c r="D19" s="27">
        <v>4</v>
      </c>
      <c r="E19" s="28">
        <v>131.37</v>
      </c>
    </row>
  </sheetData>
  <mergeCells count="1">
    <mergeCell ref="A1:E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708A3E-C261-4211-A80A-3A6E4EE808C4}">
  <sheetPr codeName="Sheet31"/>
  <dimension ref="A1:E19"/>
  <sheetViews>
    <sheetView workbookViewId="0">
      <selection sqref="A1:E1"/>
    </sheetView>
  </sheetViews>
  <sheetFormatPr defaultRowHeight="15" x14ac:dyDescent="0.25"/>
  <cols>
    <col min="1" max="1" width="23.7109375" bestFit="1" customWidth="1"/>
    <col min="2" max="2" width="17.28515625" bestFit="1" customWidth="1"/>
    <col min="3" max="3" width="10.42578125" bestFit="1" customWidth="1"/>
    <col min="4" max="4" width="10" bestFit="1" customWidth="1"/>
    <col min="5" max="5" width="18.5703125" bestFit="1" customWidth="1"/>
  </cols>
  <sheetData>
    <row r="1" spans="1:5" ht="28.5" x14ac:dyDescent="0.25">
      <c r="A1" s="55" t="s">
        <v>37</v>
      </c>
      <c r="B1" s="55"/>
      <c r="C1" s="55"/>
      <c r="D1" s="55"/>
      <c r="E1" s="55"/>
    </row>
    <row r="3" spans="1:5" x14ac:dyDescent="0.25">
      <c r="A3" t="s">
        <v>88</v>
      </c>
      <c r="D3" t="s">
        <v>35</v>
      </c>
      <c r="E3" s="25"/>
    </row>
    <row r="4" spans="1:5" x14ac:dyDescent="0.25">
      <c r="D4" t="s">
        <v>45</v>
      </c>
      <c r="E4" s="25"/>
    </row>
    <row r="5" spans="1:5" x14ac:dyDescent="0.25">
      <c r="D5" t="s">
        <v>40</v>
      </c>
      <c r="E5" s="25"/>
    </row>
    <row r="8" spans="1:5" x14ac:dyDescent="0.25">
      <c r="A8" s="5" t="s">
        <v>38</v>
      </c>
      <c r="E8" s="5" t="s">
        <v>39</v>
      </c>
    </row>
    <row r="9" spans="1:5" x14ac:dyDescent="0.25">
      <c r="A9" t="s">
        <v>483</v>
      </c>
      <c r="E9" t="s">
        <v>483</v>
      </c>
    </row>
    <row r="10" spans="1:5" x14ac:dyDescent="0.25">
      <c r="A10" t="s">
        <v>484</v>
      </c>
      <c r="E10" t="s">
        <v>484</v>
      </c>
    </row>
    <row r="11" spans="1:5" x14ac:dyDescent="0.25">
      <c r="A11" t="s">
        <v>485</v>
      </c>
      <c r="E11" t="s">
        <v>485</v>
      </c>
    </row>
    <row r="15" spans="1:5" x14ac:dyDescent="0.25">
      <c r="A15" s="23" t="s">
        <v>55</v>
      </c>
      <c r="D15" s="5" t="s">
        <v>41</v>
      </c>
      <c r="E15" s="6">
        <v>5.48</v>
      </c>
    </row>
    <row r="16" spans="1:5" x14ac:dyDescent="0.25">
      <c r="A16" s="23" t="s">
        <v>56</v>
      </c>
    </row>
    <row r="18" spans="1:5" x14ac:dyDescent="0.25">
      <c r="A18" s="26" t="s">
        <v>2</v>
      </c>
      <c r="B18" s="26" t="s">
        <v>42</v>
      </c>
      <c r="C18" s="26" t="s">
        <v>43</v>
      </c>
      <c r="D18" s="26" t="s">
        <v>50</v>
      </c>
      <c r="E18" s="26" t="s">
        <v>44</v>
      </c>
    </row>
    <row r="19" spans="1:5" x14ac:dyDescent="0.25">
      <c r="A19" s="27"/>
      <c r="B19" s="27" t="s">
        <v>92</v>
      </c>
      <c r="C19" s="28">
        <v>0</v>
      </c>
      <c r="D19" s="27">
        <v>19</v>
      </c>
      <c r="E19" s="28">
        <v>5.48</v>
      </c>
    </row>
  </sheetData>
  <mergeCells count="1">
    <mergeCell ref="A1:E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855C9-F892-43C6-967A-0CF7E217C6E8}">
  <sheetPr codeName="Sheet32"/>
  <dimension ref="A1:E19"/>
  <sheetViews>
    <sheetView workbookViewId="0">
      <selection sqref="A1:E1"/>
    </sheetView>
  </sheetViews>
  <sheetFormatPr defaultRowHeight="15" x14ac:dyDescent="0.25"/>
  <cols>
    <col min="1" max="1" width="23.7109375" bestFit="1" customWidth="1"/>
    <col min="2" max="2" width="26.28515625" bestFit="1" customWidth="1"/>
    <col min="3" max="3" width="10.42578125" bestFit="1" customWidth="1"/>
    <col min="4" max="4" width="10" bestFit="1" customWidth="1"/>
    <col min="5" max="5" width="18.5703125" bestFit="1" customWidth="1"/>
  </cols>
  <sheetData>
    <row r="1" spans="1:5" ht="28.5" x14ac:dyDescent="0.25">
      <c r="A1" s="55" t="s">
        <v>37</v>
      </c>
      <c r="B1" s="55"/>
      <c r="C1" s="55"/>
      <c r="D1" s="55"/>
      <c r="E1" s="55"/>
    </row>
    <row r="3" spans="1:5" x14ac:dyDescent="0.25">
      <c r="A3" t="s">
        <v>76</v>
      </c>
      <c r="D3" t="s">
        <v>35</v>
      </c>
      <c r="E3" s="25"/>
    </row>
    <row r="4" spans="1:5" x14ac:dyDescent="0.25">
      <c r="D4" t="s">
        <v>45</v>
      </c>
      <c r="E4" s="25"/>
    </row>
    <row r="5" spans="1:5" x14ac:dyDescent="0.25">
      <c r="D5" t="s">
        <v>40</v>
      </c>
      <c r="E5" s="25"/>
    </row>
    <row r="8" spans="1:5" x14ac:dyDescent="0.25">
      <c r="A8" s="5" t="s">
        <v>38</v>
      </c>
      <c r="E8" s="5" t="s">
        <v>39</v>
      </c>
    </row>
    <row r="9" spans="1:5" x14ac:dyDescent="0.25">
      <c r="A9" t="s">
        <v>483</v>
      </c>
      <c r="E9" t="s">
        <v>483</v>
      </c>
    </row>
    <row r="10" spans="1:5" x14ac:dyDescent="0.25">
      <c r="A10" t="s">
        <v>484</v>
      </c>
      <c r="E10" t="s">
        <v>484</v>
      </c>
    </row>
    <row r="11" spans="1:5" x14ac:dyDescent="0.25">
      <c r="A11" t="s">
        <v>485</v>
      </c>
      <c r="E11" t="s">
        <v>485</v>
      </c>
    </row>
    <row r="15" spans="1:5" x14ac:dyDescent="0.25">
      <c r="A15" s="23" t="s">
        <v>55</v>
      </c>
      <c r="D15" s="5" t="s">
        <v>41</v>
      </c>
      <c r="E15" s="6">
        <v>72.36</v>
      </c>
    </row>
    <row r="16" spans="1:5" x14ac:dyDescent="0.25">
      <c r="A16" s="23" t="s">
        <v>56</v>
      </c>
    </row>
    <row r="18" spans="1:5" x14ac:dyDescent="0.25">
      <c r="A18" s="26" t="s">
        <v>2</v>
      </c>
      <c r="B18" s="26" t="s">
        <v>42</v>
      </c>
      <c r="C18" s="26" t="s">
        <v>43</v>
      </c>
      <c r="D18" s="26" t="s">
        <v>50</v>
      </c>
      <c r="E18" s="26" t="s">
        <v>44</v>
      </c>
    </row>
    <row r="19" spans="1:5" x14ac:dyDescent="0.25">
      <c r="A19" s="27"/>
      <c r="B19" s="27" t="s">
        <v>72</v>
      </c>
      <c r="C19" s="28">
        <v>0</v>
      </c>
      <c r="D19" s="27">
        <v>16</v>
      </c>
      <c r="E19" s="28">
        <v>72.36</v>
      </c>
    </row>
  </sheetData>
  <mergeCells count="1">
    <mergeCell ref="A1:E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537AB-6C21-40C1-A552-A4ED29AA8B34}">
  <sheetPr codeName="Sheet1"/>
  <dimension ref="A1:M18"/>
  <sheetViews>
    <sheetView workbookViewId="0">
      <selection activeCell="K33" sqref="K33"/>
    </sheetView>
  </sheetViews>
  <sheetFormatPr defaultRowHeight="15" x14ac:dyDescent="0.25"/>
  <cols>
    <col min="1" max="1" width="14.28515625" bestFit="1" customWidth="1"/>
    <col min="2" max="2" width="14.42578125" bestFit="1" customWidth="1"/>
    <col min="3" max="3" width="21.140625" bestFit="1" customWidth="1"/>
    <col min="4" max="4" width="7.140625" bestFit="1" customWidth="1"/>
    <col min="5" max="5" width="26.28515625" bestFit="1" customWidth="1"/>
    <col min="6" max="6" width="6" bestFit="1" customWidth="1"/>
    <col min="7" max="7" width="5.7109375" bestFit="1" customWidth="1"/>
    <col min="8" max="8" width="9.140625" bestFit="1" customWidth="1"/>
    <col min="9" max="9" width="8.28515625" bestFit="1" customWidth="1"/>
    <col min="10" max="10" width="9.85546875" bestFit="1" customWidth="1"/>
    <col min="11" max="11" width="24.7109375" bestFit="1" customWidth="1"/>
    <col min="12" max="12" width="13.85546875" bestFit="1" customWidth="1"/>
    <col min="13" max="13" width="9.85546875" bestFit="1" customWidth="1"/>
  </cols>
  <sheetData>
    <row r="1" spans="1:13" s="23" customFormat="1" x14ac:dyDescent="0.25">
      <c r="A1" s="23" t="s">
        <v>48</v>
      </c>
      <c r="B1" s="23" t="s">
        <v>49</v>
      </c>
      <c r="C1" s="23" t="s">
        <v>3</v>
      </c>
      <c r="D1" s="23" t="s">
        <v>9</v>
      </c>
      <c r="E1" s="23" t="s">
        <v>8</v>
      </c>
      <c r="F1" s="23" t="s">
        <v>50</v>
      </c>
      <c r="G1" s="23" t="s">
        <v>1</v>
      </c>
      <c r="H1" s="23" t="s">
        <v>19</v>
      </c>
      <c r="I1" s="23" t="s">
        <v>51</v>
      </c>
      <c r="J1" s="23" t="s">
        <v>52</v>
      </c>
      <c r="K1" s="23" t="s">
        <v>30</v>
      </c>
      <c r="L1" s="23" t="s">
        <v>53</v>
      </c>
      <c r="M1" s="23" t="s">
        <v>54</v>
      </c>
    </row>
    <row r="2" spans="1:13" x14ac:dyDescent="0.25">
      <c r="A2" t="s">
        <v>476</v>
      </c>
      <c r="B2" s="1">
        <v>46194</v>
      </c>
      <c r="C2" t="s">
        <v>136</v>
      </c>
      <c r="D2" t="s">
        <v>142</v>
      </c>
      <c r="E2" t="s">
        <v>143</v>
      </c>
      <c r="F2">
        <v>1167</v>
      </c>
      <c r="G2" t="s">
        <v>138</v>
      </c>
      <c r="H2" s="24">
        <v>1.41</v>
      </c>
      <c r="I2" s="24">
        <v>46.53</v>
      </c>
      <c r="J2" s="24">
        <v>1675.08</v>
      </c>
      <c r="K2" t="s">
        <v>15</v>
      </c>
      <c r="L2" t="s">
        <v>34</v>
      </c>
      <c r="M2" t="s">
        <v>482</v>
      </c>
    </row>
    <row r="3" spans="1:13" x14ac:dyDescent="0.25">
      <c r="A3" t="s">
        <v>476</v>
      </c>
      <c r="B3" s="1">
        <v>46194</v>
      </c>
      <c r="C3" t="s">
        <v>136</v>
      </c>
      <c r="D3" t="s">
        <v>158</v>
      </c>
      <c r="E3" t="s">
        <v>159</v>
      </c>
      <c r="F3">
        <v>597</v>
      </c>
      <c r="G3" t="s">
        <v>138</v>
      </c>
      <c r="H3" s="24">
        <v>0.02</v>
      </c>
      <c r="I3" s="24">
        <v>0.03</v>
      </c>
      <c r="J3" s="24">
        <v>8.9700000000000006</v>
      </c>
      <c r="K3" t="s">
        <v>15</v>
      </c>
      <c r="L3" t="s">
        <v>34</v>
      </c>
      <c r="M3" t="s">
        <v>482</v>
      </c>
    </row>
    <row r="4" spans="1:13" x14ac:dyDescent="0.25">
      <c r="A4" t="s">
        <v>486</v>
      </c>
      <c r="B4" s="1">
        <v>46197</v>
      </c>
      <c r="C4" t="s">
        <v>76</v>
      </c>
      <c r="D4" t="s">
        <v>71</v>
      </c>
      <c r="E4" t="s">
        <v>72</v>
      </c>
      <c r="F4">
        <v>184</v>
      </c>
      <c r="G4" t="s">
        <v>79</v>
      </c>
      <c r="H4" s="24">
        <v>6.03</v>
      </c>
      <c r="I4" s="24">
        <v>72.36</v>
      </c>
      <c r="J4" s="24">
        <v>1157.76</v>
      </c>
      <c r="K4" t="s">
        <v>15</v>
      </c>
      <c r="L4" t="s">
        <v>34</v>
      </c>
      <c r="M4" t="s">
        <v>482</v>
      </c>
    </row>
    <row r="5" spans="1:13" x14ac:dyDescent="0.25">
      <c r="A5" t="s">
        <v>486</v>
      </c>
      <c r="B5" s="1">
        <v>46197</v>
      </c>
      <c r="C5" t="s">
        <v>88</v>
      </c>
      <c r="D5" t="s">
        <v>91</v>
      </c>
      <c r="E5" t="s">
        <v>92</v>
      </c>
      <c r="F5">
        <v>110.5</v>
      </c>
      <c r="G5" t="s">
        <v>79</v>
      </c>
      <c r="H5" s="24">
        <v>0.91</v>
      </c>
      <c r="I5" s="24">
        <v>5.48</v>
      </c>
      <c r="J5" s="24">
        <v>104.12</v>
      </c>
      <c r="K5" t="s">
        <v>15</v>
      </c>
      <c r="L5" t="s">
        <v>34</v>
      </c>
      <c r="M5" t="s">
        <v>482</v>
      </c>
    </row>
    <row r="6" spans="1:13" x14ac:dyDescent="0.25">
      <c r="A6" t="s">
        <v>486</v>
      </c>
      <c r="B6" s="1">
        <v>46197</v>
      </c>
      <c r="C6" t="s">
        <v>96</v>
      </c>
      <c r="D6" t="s">
        <v>94</v>
      </c>
      <c r="E6" t="s">
        <v>95</v>
      </c>
      <c r="F6">
        <v>258</v>
      </c>
      <c r="G6" t="s">
        <v>79</v>
      </c>
      <c r="H6" s="24">
        <v>1.82</v>
      </c>
      <c r="I6" s="24">
        <v>131.37</v>
      </c>
      <c r="J6" s="24">
        <v>525.48</v>
      </c>
      <c r="K6" t="s">
        <v>15</v>
      </c>
      <c r="L6" t="s">
        <v>34</v>
      </c>
      <c r="M6" t="s">
        <v>482</v>
      </c>
    </row>
    <row r="7" spans="1:13" x14ac:dyDescent="0.25">
      <c r="A7" t="s">
        <v>486</v>
      </c>
      <c r="B7" s="1">
        <v>46197</v>
      </c>
      <c r="C7" t="s">
        <v>136</v>
      </c>
      <c r="D7" t="s">
        <v>139</v>
      </c>
      <c r="E7" t="s">
        <v>140</v>
      </c>
      <c r="F7">
        <v>1600</v>
      </c>
      <c r="G7" t="s">
        <v>138</v>
      </c>
      <c r="H7" s="24">
        <v>1.4</v>
      </c>
      <c r="I7" s="24">
        <v>5.58</v>
      </c>
      <c r="J7" s="24">
        <v>2232</v>
      </c>
      <c r="K7" t="s">
        <v>14</v>
      </c>
      <c r="L7" t="s">
        <v>34</v>
      </c>
      <c r="M7" t="s">
        <v>482</v>
      </c>
    </row>
    <row r="8" spans="1:13" x14ac:dyDescent="0.25">
      <c r="A8" t="s">
        <v>486</v>
      </c>
      <c r="B8" s="1">
        <v>46197</v>
      </c>
      <c r="C8" t="s">
        <v>136</v>
      </c>
      <c r="D8" t="s">
        <v>142</v>
      </c>
      <c r="E8" t="s">
        <v>143</v>
      </c>
      <c r="F8">
        <v>1167</v>
      </c>
      <c r="G8" t="s">
        <v>138</v>
      </c>
      <c r="H8" s="24">
        <v>1.41</v>
      </c>
      <c r="I8" s="24">
        <v>46.53</v>
      </c>
      <c r="J8" s="24">
        <v>1675.08</v>
      </c>
      <c r="K8" t="s">
        <v>15</v>
      </c>
      <c r="L8" t="s">
        <v>34</v>
      </c>
      <c r="M8" t="s">
        <v>482</v>
      </c>
    </row>
    <row r="9" spans="1:13" x14ac:dyDescent="0.25">
      <c r="A9" t="s">
        <v>486</v>
      </c>
      <c r="B9" s="1">
        <v>46197</v>
      </c>
      <c r="C9" t="s">
        <v>76</v>
      </c>
      <c r="D9" t="s">
        <v>71</v>
      </c>
      <c r="E9" t="s">
        <v>72</v>
      </c>
      <c r="F9">
        <v>184</v>
      </c>
      <c r="G9" t="s">
        <v>79</v>
      </c>
      <c r="H9" s="24">
        <v>6.03</v>
      </c>
      <c r="I9" s="24">
        <v>72.36</v>
      </c>
      <c r="J9" s="24">
        <v>1157.76</v>
      </c>
      <c r="K9" t="s">
        <v>15</v>
      </c>
      <c r="L9" t="s">
        <v>34</v>
      </c>
      <c r="M9" t="s">
        <v>482</v>
      </c>
    </row>
    <row r="10" spans="1:13" x14ac:dyDescent="0.25">
      <c r="A10" t="s">
        <v>486</v>
      </c>
      <c r="B10" s="1">
        <v>46197</v>
      </c>
      <c r="C10" t="s">
        <v>88</v>
      </c>
      <c r="D10" t="s">
        <v>91</v>
      </c>
      <c r="E10" t="s">
        <v>92</v>
      </c>
      <c r="F10">
        <v>110.5</v>
      </c>
      <c r="G10" t="s">
        <v>79</v>
      </c>
      <c r="H10" s="24">
        <v>0.91</v>
      </c>
      <c r="I10" s="24">
        <v>5.48</v>
      </c>
      <c r="J10" s="24">
        <v>104.12</v>
      </c>
      <c r="K10" t="s">
        <v>15</v>
      </c>
      <c r="L10" t="s">
        <v>34</v>
      </c>
      <c r="M10" t="s">
        <v>482</v>
      </c>
    </row>
    <row r="11" spans="1:13" x14ac:dyDescent="0.25">
      <c r="A11" t="s">
        <v>486</v>
      </c>
      <c r="B11" s="1">
        <v>46197</v>
      </c>
      <c r="C11" t="s">
        <v>96</v>
      </c>
      <c r="D11" t="s">
        <v>94</v>
      </c>
      <c r="E11" t="s">
        <v>95</v>
      </c>
      <c r="F11">
        <v>258</v>
      </c>
      <c r="G11" t="s">
        <v>79</v>
      </c>
      <c r="H11" s="24">
        <v>1.82</v>
      </c>
      <c r="I11" s="24">
        <v>131.37</v>
      </c>
      <c r="J11" s="24">
        <v>525.48</v>
      </c>
      <c r="K11" t="s">
        <v>15</v>
      </c>
      <c r="L11" t="s">
        <v>34</v>
      </c>
      <c r="M11" t="s">
        <v>482</v>
      </c>
    </row>
    <row r="12" spans="1:13" x14ac:dyDescent="0.25">
      <c r="A12" t="s">
        <v>486</v>
      </c>
      <c r="B12" s="1">
        <v>46197</v>
      </c>
      <c r="C12" t="s">
        <v>136</v>
      </c>
      <c r="D12" t="s">
        <v>139</v>
      </c>
      <c r="E12" t="s">
        <v>140</v>
      </c>
      <c r="F12">
        <v>1600</v>
      </c>
      <c r="G12" t="s">
        <v>138</v>
      </c>
      <c r="H12" s="24">
        <v>1.4</v>
      </c>
      <c r="I12" s="24">
        <v>5.58</v>
      </c>
      <c r="J12" s="24">
        <v>2232</v>
      </c>
      <c r="K12" t="s">
        <v>14</v>
      </c>
      <c r="L12" t="s">
        <v>34</v>
      </c>
      <c r="M12" t="s">
        <v>482</v>
      </c>
    </row>
    <row r="13" spans="1:13" x14ac:dyDescent="0.25">
      <c r="A13" t="s">
        <v>486</v>
      </c>
      <c r="B13" s="1">
        <v>46197</v>
      </c>
      <c r="C13" t="s">
        <v>136</v>
      </c>
      <c r="D13" t="s">
        <v>142</v>
      </c>
      <c r="E13" t="s">
        <v>143</v>
      </c>
      <c r="F13">
        <v>1167</v>
      </c>
      <c r="G13" t="s">
        <v>138</v>
      </c>
      <c r="H13" s="24">
        <v>1.41</v>
      </c>
      <c r="I13" s="24">
        <v>46.53</v>
      </c>
      <c r="J13" s="24">
        <v>1675.08</v>
      </c>
      <c r="K13" t="s">
        <v>15</v>
      </c>
      <c r="L13" t="s">
        <v>34</v>
      </c>
      <c r="M13" t="s">
        <v>482</v>
      </c>
    </row>
    <row r="14" spans="1:13" x14ac:dyDescent="0.25">
      <c r="A14" t="s">
        <v>486</v>
      </c>
      <c r="B14" s="1">
        <v>46197</v>
      </c>
      <c r="C14" t="s">
        <v>76</v>
      </c>
      <c r="D14" t="s">
        <v>71</v>
      </c>
      <c r="E14" t="s">
        <v>72</v>
      </c>
      <c r="F14">
        <v>184</v>
      </c>
      <c r="G14" t="s">
        <v>79</v>
      </c>
      <c r="H14" s="24">
        <v>6.03</v>
      </c>
      <c r="I14" s="24">
        <v>72.36</v>
      </c>
      <c r="J14" s="24">
        <v>1157.76</v>
      </c>
      <c r="K14" t="s">
        <v>15</v>
      </c>
      <c r="L14" t="s">
        <v>34</v>
      </c>
      <c r="M14" t="s">
        <v>482</v>
      </c>
    </row>
    <row r="15" spans="1:13" x14ac:dyDescent="0.25">
      <c r="A15" t="s">
        <v>486</v>
      </c>
      <c r="B15" s="1">
        <v>46197</v>
      </c>
      <c r="C15" t="s">
        <v>88</v>
      </c>
      <c r="D15" t="s">
        <v>91</v>
      </c>
      <c r="E15" t="s">
        <v>92</v>
      </c>
      <c r="F15">
        <v>110.5</v>
      </c>
      <c r="G15" t="s">
        <v>79</v>
      </c>
      <c r="H15" s="24">
        <v>0.91</v>
      </c>
      <c r="I15" s="24">
        <v>5.48</v>
      </c>
      <c r="J15" s="24">
        <v>104.12</v>
      </c>
      <c r="K15" t="s">
        <v>15</v>
      </c>
      <c r="L15" t="s">
        <v>34</v>
      </c>
      <c r="M15" t="s">
        <v>482</v>
      </c>
    </row>
    <row r="16" spans="1:13" x14ac:dyDescent="0.25">
      <c r="A16" t="s">
        <v>486</v>
      </c>
      <c r="B16" s="1">
        <v>46197</v>
      </c>
      <c r="C16" t="s">
        <v>96</v>
      </c>
      <c r="D16" t="s">
        <v>94</v>
      </c>
      <c r="E16" t="s">
        <v>95</v>
      </c>
      <c r="F16">
        <v>258</v>
      </c>
      <c r="G16" t="s">
        <v>79</v>
      </c>
      <c r="H16" s="24">
        <v>1.82</v>
      </c>
      <c r="I16" s="24">
        <v>131.37</v>
      </c>
      <c r="J16" s="24">
        <v>525.48</v>
      </c>
      <c r="K16" t="s">
        <v>15</v>
      </c>
      <c r="L16" t="s">
        <v>34</v>
      </c>
      <c r="M16" t="s">
        <v>482</v>
      </c>
    </row>
    <row r="17" spans="1:13" x14ac:dyDescent="0.25">
      <c r="A17" t="s">
        <v>486</v>
      </c>
      <c r="B17" s="1">
        <v>46197</v>
      </c>
      <c r="C17" t="s">
        <v>136</v>
      </c>
      <c r="D17" t="s">
        <v>139</v>
      </c>
      <c r="E17" t="s">
        <v>140</v>
      </c>
      <c r="F17">
        <v>1600</v>
      </c>
      <c r="G17" t="s">
        <v>138</v>
      </c>
      <c r="H17" s="24">
        <v>1.4</v>
      </c>
      <c r="I17" s="24">
        <v>5.58</v>
      </c>
      <c r="J17" s="24">
        <v>2232</v>
      </c>
      <c r="K17" t="s">
        <v>14</v>
      </c>
      <c r="L17" t="s">
        <v>34</v>
      </c>
      <c r="M17" t="s">
        <v>482</v>
      </c>
    </row>
    <row r="18" spans="1:13" x14ac:dyDescent="0.25">
      <c r="A18" t="s">
        <v>486</v>
      </c>
      <c r="B18" s="1">
        <v>46197</v>
      </c>
      <c r="C18" t="s">
        <v>136</v>
      </c>
      <c r="D18" t="s">
        <v>142</v>
      </c>
      <c r="E18" t="s">
        <v>143</v>
      </c>
      <c r="F18">
        <v>1167</v>
      </c>
      <c r="G18" t="s">
        <v>138</v>
      </c>
      <c r="H18" s="24">
        <v>1.41</v>
      </c>
      <c r="I18" s="24">
        <v>46.53</v>
      </c>
      <c r="J18" s="24">
        <v>1675.08</v>
      </c>
      <c r="K18" t="s">
        <v>15</v>
      </c>
      <c r="L18" t="s">
        <v>34</v>
      </c>
      <c r="M18" t="s">
        <v>482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Control Panel</vt:lpstr>
      <vt:lpstr>Master File</vt:lpstr>
      <vt:lpstr>Purchase Requisition</vt:lpstr>
      <vt:lpstr>Finance Approval Form</vt:lpstr>
      <vt:lpstr>PO - TexPack Supplies</vt:lpstr>
      <vt:lpstr>PO - Gulf Coast Distributors</vt:lpstr>
      <vt:lpstr>PO - Pacific Bean Co.</vt:lpstr>
      <vt:lpstr>PO - Green Source Coffee</vt:lpstr>
      <vt:lpstr>Finance Approval 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Shaniah Edwards</dc:creator>
  <cp:lastModifiedBy>Shaniah Edwards</cp:lastModifiedBy>
  <cp:lastPrinted>2026-06-24T23:10:21Z</cp:lastPrinted>
  <dcterms:created xsi:type="dcterms:W3CDTF">2015-06-05T18:17:20Z</dcterms:created>
  <dcterms:modified xsi:type="dcterms:W3CDTF">2026-06-28T16:09:18Z</dcterms:modified>
</cp:coreProperties>
</file>