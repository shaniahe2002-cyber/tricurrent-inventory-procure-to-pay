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ni\Documents\Portfolio\"/>
    </mc:Choice>
  </mc:AlternateContent>
  <xr:revisionPtr revIDLastSave="0" documentId="13_ncr:1_{A3CD01E6-F1BF-4591-AB2D-6589D376805F}" xr6:coauthVersionLast="47" xr6:coauthVersionMax="47" xr10:uidLastSave="{00000000-0000-0000-0000-000000000000}"/>
  <bookViews>
    <workbookView xWindow="-120" yWindow="-120" windowWidth="29040" windowHeight="15720" xr2:uid="{F2544453-1B8A-47DE-8924-51FD1182CDBC}"/>
  </bookViews>
  <sheets>
    <sheet name="AP Log" sheetId="7" r:id="rId1"/>
    <sheet name="Inventory Inflow" sheetId="5" r:id="rId2"/>
    <sheet name="Inventory_AP_Match" sheetId="8" r:id="rId3"/>
    <sheet name="Vendor List" sheetId="2" r:id="rId4"/>
  </sheets>
  <definedNames>
    <definedName name="ExternalData_1" localSheetId="0">'AP Log'!#REF!</definedName>
    <definedName name="ExternalData_1" localSheetId="1" hidden="1">'Inventory Inflow'!$A$1:$R$91</definedName>
    <definedName name="ExternalData_2" localSheetId="2" hidden="1">Inventory_AP_Match!$A$1:$D$91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2" i="7" l="1" a="1"/>
  <c r="R2" i="7" s="1"/>
  <c r="Q2" i="7" a="1"/>
  <c r="Q2" i="7" s="1"/>
  <c r="P2" i="7" a="1"/>
  <c r="P2" i="7" s="1"/>
  <c r="O2" i="7" a="1"/>
  <c r="O2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Shaniah Edwards</author>
  </authors>
  <commentList>
    <comment ref="A1" authorId="0" shapeId="0" xr:uid="{8A7350D2-D433-497A-9D7A-EBA5F1A87AE8}">
      <text>
        <r>
          <rPr>
            <b/>
            <sz val="9"/>
            <color indexed="81"/>
            <rFont val="Tahoma"/>
            <family val="2"/>
          </rPr>
          <t>Shaniah Edwards:</t>
        </r>
        <r>
          <rPr>
            <sz val="9"/>
            <color indexed="81"/>
            <rFont val="Tahoma"/>
            <family val="2"/>
          </rPr>
          <t xml:space="preserve">
This sheet refreshes via Power Query from a shared staging file (Inflow_Staging.xlsx) exported by the Inventory Management workbook. The connection path is configured for the original shared OneDrive folder; to refresh against a local copy of Inflow_Staging.xlsx, update the Source step path in Power Query Editor.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452004-1E37-4A0B-9689-53E83A113A13}" keepAlive="1" name="Query - Inflow1" description="Connection to the 'Inflow1' query in the workbook." type="5" refreshedVersion="8" background="1" saveData="1">
    <dbPr connection="Provider=Microsoft.Mashup.OleDb.1;Data Source=$Workbook$;Location=Inflow1;Extended Properties=&quot;&quot;" command="SELECT * FROM [Inflow1]"/>
  </connection>
  <connection id="2" xr16:uid="{F4573F80-AC94-48F5-B2BE-37CCE26470B2}" keepAlive="1" name="Query - InflowAP" description="Connection to the 'InflowAP' query in the workbook." type="5" refreshedVersion="8" background="1" saveData="1">
    <dbPr connection="Provider=Microsoft.Mashup.OleDb.1;Data Source=$Workbook$;Location=InflowAP;Extended Properties=&quot;&quot;" command="SELECT * FROM [InflowAP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<sst xmlns="http://schemas.openxmlformats.org/spreadsheetml/2006/main" count="1345" uniqueCount="616">
  <si>
    <t>PO Number</t>
  </si>
  <si>
    <t>Vendor</t>
  </si>
  <si>
    <t>PO Date</t>
  </si>
  <si>
    <t>PO Amount</t>
  </si>
  <si>
    <t>Invoice Number</t>
  </si>
  <si>
    <t>Invoice Date</t>
  </si>
  <si>
    <t>Invoice Amount</t>
  </si>
  <si>
    <t>Received Status</t>
  </si>
  <si>
    <t>Date Received</t>
  </si>
  <si>
    <t>Entered in QB</t>
  </si>
  <si>
    <t>Payment Due Date</t>
  </si>
  <si>
    <t>Payment Date</t>
  </si>
  <si>
    <t>Payment Method</t>
  </si>
  <si>
    <t>Status</t>
  </si>
  <si>
    <t>Inventory.PO Number</t>
  </si>
  <si>
    <t>Inventory.Vendor</t>
  </si>
  <si>
    <t>Inventory.PO Date</t>
  </si>
  <si>
    <t>Inventory.PO Amount</t>
  </si>
  <si>
    <t>Date</t>
  </si>
  <si>
    <t>SKU</t>
  </si>
  <si>
    <t>Item Name</t>
  </si>
  <si>
    <t>Category</t>
  </si>
  <si>
    <t>Sub-Category</t>
  </si>
  <si>
    <t>Quantity Purchased</t>
  </si>
  <si>
    <t>Unit Cost</t>
  </si>
  <si>
    <t>Total Cost</t>
  </si>
  <si>
    <t>Vendor Confirmation Number</t>
  </si>
  <si>
    <t>Lot Number</t>
  </si>
  <si>
    <t>Expiration Date</t>
  </si>
  <si>
    <t>Inflow Status</t>
  </si>
  <si>
    <t>Location</t>
  </si>
  <si>
    <t>Unit of Measurement</t>
  </si>
  <si>
    <t>Company</t>
  </si>
  <si>
    <t>Notes</t>
  </si>
  <si>
    <t>Initial Stock</t>
  </si>
  <si>
    <t>Inventory.PO Vendor</t>
  </si>
  <si>
    <t>Vendor Name</t>
  </si>
  <si>
    <t>Default Terms</t>
  </si>
  <si>
    <t>Default Payment Method</t>
  </si>
  <si>
    <t>PIA</t>
  </si>
  <si>
    <t>Debit Card</t>
  </si>
  <si>
    <t>Net 30</t>
  </si>
  <si>
    <t>Wire Transfer</t>
  </si>
  <si>
    <t>GB-001</t>
  </si>
  <si>
    <t>Ethiopia Yirgacheffe Natural</t>
  </si>
  <si>
    <t>Green Beans</t>
  </si>
  <si>
    <t>Washed</t>
  </si>
  <si>
    <t>Green Source Coffee</t>
  </si>
  <si>
    <t>PO-1022</t>
  </si>
  <si>
    <t>CONF-5022</t>
  </si>
  <si>
    <t>LOT-AR-2025022</t>
  </si>
  <si>
    <t>Texaflo Austin</t>
  </si>
  <si>
    <t>kg (12 EA)</t>
  </si>
  <si>
    <t>Texaflo Roasting Co.</t>
  </si>
  <si>
    <t>GB-002</t>
  </si>
  <si>
    <t>Colombia Huila Washed</t>
  </si>
  <si>
    <t>PO-1039</t>
  </si>
  <si>
    <t>CONF-5039</t>
  </si>
  <si>
    <t>LOT-AR-2025039</t>
  </si>
  <si>
    <t>GB-003</t>
  </si>
  <si>
    <t>Guatemala Antigua SHB</t>
  </si>
  <si>
    <t>Natural</t>
  </si>
  <si>
    <t>Pacific Bean Co.</t>
  </si>
  <si>
    <t>PO-1018</t>
  </si>
  <si>
    <t>CONF-5018</t>
  </si>
  <si>
    <t>LOT-AR-2025018</t>
  </si>
  <si>
    <t>Texaflo Distribution Center</t>
  </si>
  <si>
    <t>kg (72 EA)</t>
  </si>
  <si>
    <t>GB-004</t>
  </si>
  <si>
    <t>Kenya AA Washed</t>
  </si>
  <si>
    <t>PO-1029</t>
  </si>
  <si>
    <t>CONF-5029</t>
  </si>
  <si>
    <t>LOT-AR-2025029</t>
  </si>
  <si>
    <t>kg (6 EA)</t>
  </si>
  <si>
    <t>GB-005</t>
  </si>
  <si>
    <t>Brazil Cerrado Natural</t>
  </si>
  <si>
    <t>Gulf Coast Distributors</t>
  </si>
  <si>
    <t>PO-1016</t>
  </si>
  <si>
    <t>CONF-5016</t>
  </si>
  <si>
    <t>LOT-AR-2025016</t>
  </si>
  <si>
    <t>GB-006</t>
  </si>
  <si>
    <t>Costa Rica Tarrazu</t>
  </si>
  <si>
    <t>PO-1044</t>
  </si>
  <si>
    <t>CONF-5044</t>
  </si>
  <si>
    <t>LOT-AR-2025044</t>
  </si>
  <si>
    <t>GB-007</t>
  </si>
  <si>
    <t>Sumatra Mandheling</t>
  </si>
  <si>
    <t>Wet Hulled</t>
  </si>
  <si>
    <t>PO-1002</t>
  </si>
  <si>
    <t>CONF-5002</t>
  </si>
  <si>
    <t>LOT-AR-2025002</t>
  </si>
  <si>
    <t>kg (48 EA)</t>
  </si>
  <si>
    <t>GB-008</t>
  </si>
  <si>
    <t>Rwanda Bourbon</t>
  </si>
  <si>
    <t>PO-1027</t>
  </si>
  <si>
    <t>CONF-5027</t>
  </si>
  <si>
    <t>LOT-AR-2025027</t>
  </si>
  <si>
    <t>kg (4 EA)</t>
  </si>
  <si>
    <t>RB-001</t>
  </si>
  <si>
    <t>House Blend Roasted 1kg</t>
  </si>
  <si>
    <t>Roasted Beans</t>
  </si>
  <si>
    <t>Blend</t>
  </si>
  <si>
    <t>Internal</t>
  </si>
  <si>
    <t>PO-1020</t>
  </si>
  <si>
    <t>CONF-5020</t>
  </si>
  <si>
    <t>LOT-AR-2025020</t>
  </si>
  <si>
    <t>bag (144 EA)</t>
  </si>
  <si>
    <t>RB-002</t>
  </si>
  <si>
    <t>Single Origin Ethiopia 250g</t>
  </si>
  <si>
    <t>Single Origin</t>
  </si>
  <si>
    <t>PO-1025</t>
  </si>
  <si>
    <t>CONF-5025</t>
  </si>
  <si>
    <t>LOT-AR-2025025</t>
  </si>
  <si>
    <t>bag (12 EA)</t>
  </si>
  <si>
    <t>RB-003</t>
  </si>
  <si>
    <t>Espresso Blend Roasted 1kg</t>
  </si>
  <si>
    <t>PO-1023</t>
  </si>
  <si>
    <t>CONF-5023</t>
  </si>
  <si>
    <t>LOT-AR-2025023</t>
  </si>
  <si>
    <t>bag (72 EA)</t>
  </si>
  <si>
    <t>RB-004</t>
  </si>
  <si>
    <t>Decaf Colombia Roasted 500g</t>
  </si>
  <si>
    <t>Decaf</t>
  </si>
  <si>
    <t>PO-1048</t>
  </si>
  <si>
    <t>CONF-5048</t>
  </si>
  <si>
    <t>LOT-AR-2025048</t>
  </si>
  <si>
    <t>bag (6 EA)</t>
  </si>
  <si>
    <t>RB-005</t>
  </si>
  <si>
    <t>Cold Brew Concentrate 32oz</t>
  </si>
  <si>
    <t>Cold Brew</t>
  </si>
  <si>
    <t>PO-1000</t>
  </si>
  <si>
    <t>CONF-5000</t>
  </si>
  <si>
    <t>LOT-AR-2025000</t>
  </si>
  <si>
    <t>bottle (24 EA)</t>
  </si>
  <si>
    <t>PK-001</t>
  </si>
  <si>
    <t>Kraft Valve Bags 250g</t>
  </si>
  <si>
    <t>Packaging</t>
  </si>
  <si>
    <t>Retail Bags</t>
  </si>
  <si>
    <t>TexPack Supplies</t>
  </si>
  <si>
    <t>PO-1010</t>
  </si>
  <si>
    <t>CONF-5010</t>
  </si>
  <si>
    <t>LOT-AR-2025010</t>
  </si>
  <si>
    <t>unit (48 EA)</t>
  </si>
  <si>
    <t>PK-002</t>
  </si>
  <si>
    <t>Kraft Valve Bags 1kg</t>
  </si>
  <si>
    <t>PO-1015</t>
  </si>
  <si>
    <t>CONF-5015</t>
  </si>
  <si>
    <t>LOT-AR-2025015</t>
  </si>
  <si>
    <t>unit (4 EA)</t>
  </si>
  <si>
    <t>PK-003</t>
  </si>
  <si>
    <t>Window Tin-Tie Bags 500g</t>
  </si>
  <si>
    <t>PO-1038</t>
  </si>
  <si>
    <t>CONF-5038</t>
  </si>
  <si>
    <t>LOT-AR-2025038</t>
  </si>
  <si>
    <t>unit (33 EA)</t>
  </si>
  <si>
    <t>PK-004</t>
  </si>
  <si>
    <t>Biodegradable Valve Bags 250g</t>
  </si>
  <si>
    <t>Eco Bags</t>
  </si>
  <si>
    <t>EcoPak</t>
  </si>
  <si>
    <t>PO-1036</t>
  </si>
  <si>
    <t>CONF-5036</t>
  </si>
  <si>
    <t>LOT-AR-2025036</t>
  </si>
  <si>
    <t>PK-005</t>
  </si>
  <si>
    <t>Shipping Boxes Medium</t>
  </si>
  <si>
    <t>Shipping</t>
  </si>
  <si>
    <t>PO-1001</t>
  </si>
  <si>
    <t>CONF-5001</t>
  </si>
  <si>
    <t>LOT-AR-2025001</t>
  </si>
  <si>
    <t>unit (3000 EA)</t>
  </si>
  <si>
    <t>PK-006</t>
  </si>
  <si>
    <t>Shipping Boxes Large</t>
  </si>
  <si>
    <t>PO-1028</t>
  </si>
  <si>
    <t>CONF-5028</t>
  </si>
  <si>
    <t>LOT-AR-2025028</t>
  </si>
  <si>
    <t>unit (100 EA)</t>
  </si>
  <si>
    <t>PK-007</t>
  </si>
  <si>
    <t>Bubble Mailers</t>
  </si>
  <si>
    <t>PO-1006</t>
  </si>
  <si>
    <t>CONF-5006</t>
  </si>
  <si>
    <t>LOT-AR-2025006</t>
  </si>
  <si>
    <t>unit (2 EA)</t>
  </si>
  <si>
    <t>PK-008</t>
  </si>
  <si>
    <t>Tissue Paper Sheets</t>
  </si>
  <si>
    <t>Retail</t>
  </si>
  <si>
    <t>PO-1013</t>
  </si>
  <si>
    <t>CONF-5013</t>
  </si>
  <si>
    <t>LOT-AR-2025013</t>
  </si>
  <si>
    <t>sheet (1200 EA)</t>
  </si>
  <si>
    <t>PK-009</t>
  </si>
  <si>
    <t>Sticker Labels Roll 2in</t>
  </si>
  <si>
    <t>Labels</t>
  </si>
  <si>
    <t>StickerMule</t>
  </si>
  <si>
    <t>PO-1007</t>
  </si>
  <si>
    <t>CONF-5007</t>
  </si>
  <si>
    <t>LOT-AR-2025007</t>
  </si>
  <si>
    <t>roll (50 EA)</t>
  </si>
  <si>
    <t>ES-001</t>
  </si>
  <si>
    <t>Burr Grinder Blades Set</t>
  </si>
  <si>
    <t>Equipment Supplies</t>
  </si>
  <si>
    <t>Grinder</t>
  </si>
  <si>
    <t>AusTex Equipment</t>
  </si>
  <si>
    <t>PO-1041</t>
  </si>
  <si>
    <t>CONF-5041</t>
  </si>
  <si>
    <t>LOT-AR-2025041</t>
  </si>
  <si>
    <t>set (2 EA)</t>
  </si>
  <si>
    <t>ES-002</t>
  </si>
  <si>
    <t>Espresso Portafilter Baskets</t>
  </si>
  <si>
    <t>Espresso</t>
  </si>
  <si>
    <t>RoastRight Tools</t>
  </si>
  <si>
    <t>PO-1021</t>
  </si>
  <si>
    <t>CONF-5021</t>
  </si>
  <si>
    <t>LOT-AR-2025021</t>
  </si>
  <si>
    <t>unit (150 EA)</t>
  </si>
  <si>
    <t>ES-003</t>
  </si>
  <si>
    <t>Group Head Gaskets</t>
  </si>
  <si>
    <t>PO-1024</t>
  </si>
  <si>
    <t>CONF-5024</t>
  </si>
  <si>
    <t>LOT-AR-2025024</t>
  </si>
  <si>
    <t>unit (15 EA)</t>
  </si>
  <si>
    <t>ES-004</t>
  </si>
  <si>
    <t>Roaster Drum Brushes</t>
  </si>
  <si>
    <t>Roaster</t>
  </si>
  <si>
    <t>PO-1009</t>
  </si>
  <si>
    <t>CONF-5009</t>
  </si>
  <si>
    <t>LOT-AR-2025009</t>
  </si>
  <si>
    <t>unit (1200 EA)</t>
  </si>
  <si>
    <t>ES-005</t>
  </si>
  <si>
    <t>Thermocouples Type K</t>
  </si>
  <si>
    <t>PO-1008</t>
  </si>
  <si>
    <t>CONF-5008</t>
  </si>
  <si>
    <t>LOT-AR-2025008</t>
  </si>
  <si>
    <t>ES-006</t>
  </si>
  <si>
    <t>CO2 Cartridges for Packaging</t>
  </si>
  <si>
    <t>Lone Star Chemicals</t>
  </si>
  <si>
    <t>PO-1040</t>
  </si>
  <si>
    <t>CONF-5040</t>
  </si>
  <si>
    <t>LOT-AR-2025040</t>
  </si>
  <si>
    <t>box (50 EA)</t>
  </si>
  <si>
    <t>ES-007</t>
  </si>
  <si>
    <t>Scale Calibration Weights 500g</t>
  </si>
  <si>
    <t>Scales</t>
  </si>
  <si>
    <t>PO-1047</t>
  </si>
  <si>
    <t>CONF-5047</t>
  </si>
  <si>
    <t>LOT-AR-2025047</t>
  </si>
  <si>
    <t>set (100 EA)</t>
  </si>
  <si>
    <t>RT-001</t>
  </si>
  <si>
    <t>Branded Tote Bags</t>
  </si>
  <si>
    <t>Retail Products</t>
  </si>
  <si>
    <t>Accessories</t>
  </si>
  <si>
    <t>PO-1004</t>
  </si>
  <si>
    <t>CONF-5004</t>
  </si>
  <si>
    <t>LOT-AR-2025004</t>
  </si>
  <si>
    <t>unit (2400 EA)</t>
  </si>
  <si>
    <t>RT-002</t>
  </si>
  <si>
    <t>Ceramic Mugs 12oz</t>
  </si>
  <si>
    <t>Drinkware</t>
  </si>
  <si>
    <t>PO-1034</t>
  </si>
  <si>
    <t>CONF-5034</t>
  </si>
  <si>
    <t>LOT-AR-2025034</t>
  </si>
  <si>
    <t>RT-003</t>
  </si>
  <si>
    <t>French Press 8 Cup</t>
  </si>
  <si>
    <t>Brewers</t>
  </si>
  <si>
    <t>PO-1045</t>
  </si>
  <si>
    <t>CONF-5045</t>
  </si>
  <si>
    <t>LOT-AR-2025045</t>
  </si>
  <si>
    <t>RT-004</t>
  </si>
  <si>
    <t>Pour Over Dripper V60</t>
  </si>
  <si>
    <t>PO-1049</t>
  </si>
  <si>
    <t>CONF-5049</t>
  </si>
  <si>
    <t>LOT-AR-2025049</t>
  </si>
  <si>
    <t>RT-005</t>
  </si>
  <si>
    <t>V60 Filter Papers 100pk</t>
  </si>
  <si>
    <t>Filters</t>
  </si>
  <si>
    <t>PO-1014</t>
  </si>
  <si>
    <t>CONF-5014</t>
  </si>
  <si>
    <t>LOT-AR-2025014</t>
  </si>
  <si>
    <t>box (1200 EA)</t>
  </si>
  <si>
    <t>RT-006</t>
  </si>
  <si>
    <t>Chemex Filters 100pk</t>
  </si>
  <si>
    <t>PO-1012</t>
  </si>
  <si>
    <t>CONF-5012</t>
  </si>
  <si>
    <t>LOT-AR-2025012</t>
  </si>
  <si>
    <t>box (1000 EA)</t>
  </si>
  <si>
    <t>RT-007</t>
  </si>
  <si>
    <t>AeroPress</t>
  </si>
  <si>
    <t>PO-1019</t>
  </si>
  <si>
    <t>CONF-5019</t>
  </si>
  <si>
    <t>LOT-AR-2025019</t>
  </si>
  <si>
    <t>RT-008</t>
  </si>
  <si>
    <t>Gooseneck Kettle 1L</t>
  </si>
  <si>
    <t>Kettles</t>
  </si>
  <si>
    <t>PO-1031</t>
  </si>
  <si>
    <t>CONF-5031</t>
  </si>
  <si>
    <t>LOT-AR-2025031</t>
  </si>
  <si>
    <t>unit (2160 EA)</t>
  </si>
  <si>
    <t>RT-009</t>
  </si>
  <si>
    <t>Coffee Subscription Gift Box</t>
  </si>
  <si>
    <t>Gift Sets</t>
  </si>
  <si>
    <t>PO-1043</t>
  </si>
  <si>
    <t>CONF-5043</t>
  </si>
  <si>
    <t>LOT-AR-2025043</t>
  </si>
  <si>
    <t>unit (270 EA)</t>
  </si>
  <si>
    <t>CM-001</t>
  </si>
  <si>
    <t>Cafiza Espresso Cleaner</t>
  </si>
  <si>
    <t>Cleaning and Maintenance</t>
  </si>
  <si>
    <t>PO-1035</t>
  </si>
  <si>
    <t>CONF-5035</t>
  </si>
  <si>
    <t>LOT-AR-2025035</t>
  </si>
  <si>
    <t>kg (480 EA)</t>
  </si>
  <si>
    <t>CM-002</t>
  </si>
  <si>
    <t>Milk System Cleaner</t>
  </si>
  <si>
    <t>Milk System</t>
  </si>
  <si>
    <t>PO-1032</t>
  </si>
  <si>
    <t>CONF-5032</t>
  </si>
  <si>
    <t>LOT-AR-2025032</t>
  </si>
  <si>
    <t>bottle (48 EA)</t>
  </si>
  <si>
    <t>CM-003</t>
  </si>
  <si>
    <t>Grinder Cleaning Tablets</t>
  </si>
  <si>
    <t>PO-1030</t>
  </si>
  <si>
    <t>CONF-5030</t>
  </si>
  <si>
    <t>LOT-AR-2025030</t>
  </si>
  <si>
    <t>box (30 EA)</t>
  </si>
  <si>
    <t>CM-004</t>
  </si>
  <si>
    <t>Food Safe Sanitizer Spray</t>
  </si>
  <si>
    <t>General</t>
  </si>
  <si>
    <t>PO-1033</t>
  </si>
  <si>
    <t>CONF-5033</t>
  </si>
  <si>
    <t>LOT-AR-2025033</t>
  </si>
  <si>
    <t>bottle (1000 EA)</t>
  </si>
  <si>
    <t>CM-005</t>
  </si>
  <si>
    <t>Microfiber Cloths</t>
  </si>
  <si>
    <t>PO-1042</t>
  </si>
  <si>
    <t>CONF-5042</t>
  </si>
  <si>
    <t>LOT-AR-2025042</t>
  </si>
  <si>
    <t>pack (100 EA)</t>
  </si>
  <si>
    <t>CM-006</t>
  </si>
  <si>
    <t>Descaler Solution 1L</t>
  </si>
  <si>
    <t>Equipment</t>
  </si>
  <si>
    <t>PO-1037</t>
  </si>
  <si>
    <t>CONF-5037</t>
  </si>
  <si>
    <t>LOT-AR-2025037</t>
  </si>
  <si>
    <t>bottle (200 EA)</t>
  </si>
  <si>
    <t>CM-007</t>
  </si>
  <si>
    <t>Steam Wand Brushes</t>
  </si>
  <si>
    <t>PO-1026</t>
  </si>
  <si>
    <t>CONF-5026</t>
  </si>
  <si>
    <t>LOT-AR-2025026</t>
  </si>
  <si>
    <t>unit (50 EA)</t>
  </si>
  <si>
    <t>LS-001</t>
  </si>
  <si>
    <t>Commercial Degreaser 5gal</t>
  </si>
  <si>
    <t>Cleaning Chemicals</t>
  </si>
  <si>
    <t>Degreasers</t>
  </si>
  <si>
    <t>ChemSource Pro</t>
  </si>
  <si>
    <t>PO-1017</t>
  </si>
  <si>
    <t>CONF-5017</t>
  </si>
  <si>
    <t>LOT-AR-2025017</t>
  </si>
  <si>
    <t>Lone Star Distribution Center</t>
  </si>
  <si>
    <t>pail (1 EA)</t>
  </si>
  <si>
    <t>Lone Star Wholesale</t>
  </si>
  <si>
    <t>LS-002</t>
  </si>
  <si>
    <t>Sanitizer Concentrate 55gal</t>
  </si>
  <si>
    <t>Sanitizers</t>
  </si>
  <si>
    <t>PO-1003</t>
  </si>
  <si>
    <t>CONF-5003</t>
  </si>
  <si>
    <t>LOT-AR-2025003</t>
  </si>
  <si>
    <t>drum (1 EA)</t>
  </si>
  <si>
    <t>LS-003</t>
  </si>
  <si>
    <t>Floor Cleaner Neutral pH 1gal</t>
  </si>
  <si>
    <t>Floor Care</t>
  </si>
  <si>
    <t>PO-1011</t>
  </si>
  <si>
    <t>CONF-5011</t>
  </si>
  <si>
    <t>LOT-AR-2025011</t>
  </si>
  <si>
    <t>jug (4 EA)</t>
  </si>
  <si>
    <t>LS-004</t>
  </si>
  <si>
    <t>Dish Soap Commercial 1gal</t>
  </si>
  <si>
    <t>Dishwashing</t>
  </si>
  <si>
    <t>PO-1046</t>
  </si>
  <si>
    <t>CONF-5046</t>
  </si>
  <si>
    <t>LOT-AR-2025046</t>
  </si>
  <si>
    <t>Lone Star Houston</t>
  </si>
  <si>
    <t>LS-005</t>
  </si>
  <si>
    <t>Paper Towels Industrial Roll 12pk</t>
  </si>
  <si>
    <t>Paper Goods</t>
  </si>
  <si>
    <t>Paper Towels</t>
  </si>
  <si>
    <t>TXPaper Co.</t>
  </si>
  <si>
    <t>PO-1005</t>
  </si>
  <si>
    <t>CONF-5005</t>
  </si>
  <si>
    <t>LOT-AR-2025005</t>
  </si>
  <si>
    <t>case (12 EA)</t>
  </si>
  <si>
    <t>LS-006</t>
  </si>
  <si>
    <t>Napkins Kraft 500pk</t>
  </si>
  <si>
    <t>Napkins</t>
  </si>
  <si>
    <t>PO-2000</t>
  </si>
  <si>
    <t>CONF-6038</t>
  </si>
  <si>
    <t>case (500 EA)</t>
  </si>
  <si>
    <t>LS-007</t>
  </si>
  <si>
    <t>Trash Bags 55gal Heavy Duty 50pk</t>
  </si>
  <si>
    <t>Janitorial</t>
  </si>
  <si>
    <t>Waste Management</t>
  </si>
  <si>
    <t>CleanTex Supply</t>
  </si>
  <si>
    <t>PO-2001</t>
  </si>
  <si>
    <t>CONF-7054</t>
  </si>
  <si>
    <t>case (50 EA)</t>
  </si>
  <si>
    <t>LS-008</t>
  </si>
  <si>
    <t>Trash Bags 33gal 100pk</t>
  </si>
  <si>
    <t>PO-2002</t>
  </si>
  <si>
    <t>CONF-7055</t>
  </si>
  <si>
    <t>case (100 EA)</t>
  </si>
  <si>
    <t>LS-009</t>
  </si>
  <si>
    <t>Mop Heads Cotton 12pk</t>
  </si>
  <si>
    <t>Mopping</t>
  </si>
  <si>
    <t>PO-2003</t>
  </si>
  <si>
    <t>CONF-6076</t>
  </si>
  <si>
    <t>LS-010</t>
  </si>
  <si>
    <t>Broom Commercial Upright</t>
  </si>
  <si>
    <t>Sweeping</t>
  </si>
  <si>
    <t>PO-2004</t>
  </si>
  <si>
    <t>CONF-6077</t>
  </si>
  <si>
    <t>unit (1 EA)</t>
  </si>
  <si>
    <t>LS-011</t>
  </si>
  <si>
    <t>Foodservice Gloves Nitrile M 100pk</t>
  </si>
  <si>
    <t>Foodservice PPE</t>
  </si>
  <si>
    <t>Gloves</t>
  </si>
  <si>
    <t>SafeHands Tex</t>
  </si>
  <si>
    <t>PO-2005</t>
  </si>
  <si>
    <t>CONF-6078</t>
  </si>
  <si>
    <t>box (100 EA)</t>
  </si>
  <si>
    <t>LS-012</t>
  </si>
  <si>
    <t>Foodservice Gloves Nitrile L 100pk</t>
  </si>
  <si>
    <t>PO-2006</t>
  </si>
  <si>
    <t>CONF-7077</t>
  </si>
  <si>
    <t>LS-013</t>
  </si>
  <si>
    <t>Disposable Aprons 100pk</t>
  </si>
  <si>
    <t>Aprons</t>
  </si>
  <si>
    <t>PO-2007</t>
  </si>
  <si>
    <t>CONF-7078</t>
  </si>
  <si>
    <t>LS-014</t>
  </si>
  <si>
    <t>Hair Nets 144pk</t>
  </si>
  <si>
    <t>Head Protection</t>
  </si>
  <si>
    <t>PO-2008</t>
  </si>
  <si>
    <t>CONF-7079</t>
  </si>
  <si>
    <t>box (144 EA)</t>
  </si>
  <si>
    <t>LS-015</t>
  </si>
  <si>
    <t>Kraft Paper Roll 24inx900ft</t>
  </si>
  <si>
    <t>Packaging Materials</t>
  </si>
  <si>
    <t>Wrapping</t>
  </si>
  <si>
    <t>PO-2009</t>
  </si>
  <si>
    <t>CONF-7080</t>
  </si>
  <si>
    <t>roll (1 EA)</t>
  </si>
  <si>
    <t>LS-016</t>
  </si>
  <si>
    <t>Bubble Wrap Roll 12inx100ft</t>
  </si>
  <si>
    <t>Protective Wrap</t>
  </si>
  <si>
    <t>PO-2010</t>
  </si>
  <si>
    <t>CONF-7081</t>
  </si>
  <si>
    <t>LS-017</t>
  </si>
  <si>
    <t>Packing Tape 2in 6pk</t>
  </si>
  <si>
    <t>Tape</t>
  </si>
  <si>
    <t>PO-2011</t>
  </si>
  <si>
    <t>CONF-7082</t>
  </si>
  <si>
    <t>pack (6 EA)</t>
  </si>
  <si>
    <t>LS-018</t>
  </si>
  <si>
    <t>Stretch Wrap 18in 4pk</t>
  </si>
  <si>
    <t>Stretch Film</t>
  </si>
  <si>
    <t>PO-2012</t>
  </si>
  <si>
    <t>CONF-7083</t>
  </si>
  <si>
    <t>case (4 EA)</t>
  </si>
  <si>
    <t>LS-019</t>
  </si>
  <si>
    <t>Corrugated Cardboard Sheets 20x20in 25pk</t>
  </si>
  <si>
    <t>Dividers</t>
  </si>
  <si>
    <t>PO-2013</t>
  </si>
  <si>
    <t>CONF-7084</t>
  </si>
  <si>
    <t>pack (25 EA)</t>
  </si>
  <si>
    <t>LS-020</t>
  </si>
  <si>
    <t>Cold Pack Instant 5x7in 24pk</t>
  </si>
  <si>
    <t>Storage Supplies</t>
  </si>
  <si>
    <t>Temperature Control</t>
  </si>
  <si>
    <t>PO-2014</t>
  </si>
  <si>
    <t>CONF-7085</t>
  </si>
  <si>
    <t>case (24 EA)</t>
  </si>
  <si>
    <t>LS-021</t>
  </si>
  <si>
    <t>Insulated Mailer 12x12in 25pk</t>
  </si>
  <si>
    <t>Insulated Packaging</t>
  </si>
  <si>
    <t>PO-2015</t>
  </si>
  <si>
    <t>CONF-2042</t>
  </si>
  <si>
    <t>case (25 EA)</t>
  </si>
  <si>
    <t>LS-022</t>
  </si>
  <si>
    <t>Moisture Absorber Packets 50pk</t>
  </si>
  <si>
    <t>Desiccants</t>
  </si>
  <si>
    <t>PO-2016</t>
  </si>
  <si>
    <t>CONF-2043</t>
  </si>
  <si>
    <t>pack (50 EA)</t>
  </si>
  <si>
    <t>LS-023</t>
  </si>
  <si>
    <t>Oxygen Absorbers 300cc 100pk</t>
  </si>
  <si>
    <t>Oxygen Control</t>
  </si>
  <si>
    <t>PO-2017</t>
  </si>
  <si>
    <t>CONF-2044</t>
  </si>
  <si>
    <t>LS-024</t>
  </si>
  <si>
    <t>Shelf Liner Non-Slip 12inx10ft</t>
  </si>
  <si>
    <t>Storage</t>
  </si>
  <si>
    <t>PO-2018</t>
  </si>
  <si>
    <t>CONF-2045</t>
  </si>
  <si>
    <t>LS-025</t>
  </si>
  <si>
    <t>First Aid Kit Refill Kit Standard</t>
  </si>
  <si>
    <t>Safety</t>
  </si>
  <si>
    <t>First Aid</t>
  </si>
  <si>
    <t>PO-2019</t>
  </si>
  <si>
    <t>CONF-2046</t>
  </si>
  <si>
    <t>kit (1 EA)</t>
  </si>
  <si>
    <t>GR-001</t>
  </si>
  <si>
    <t>Carbon Block Water Filter 10in</t>
  </si>
  <si>
    <t>Water Filtration</t>
  </si>
  <si>
    <t>Carbon Filters</t>
  </si>
  <si>
    <t>AquaRim Systems</t>
  </si>
  <si>
    <t>PO-2020</t>
  </si>
  <si>
    <t>CONF-2047</t>
  </si>
  <si>
    <t>Gulf Rim Miami</t>
  </si>
  <si>
    <t>Gulf Rim Distribution</t>
  </si>
  <si>
    <t>GR-002</t>
  </si>
  <si>
    <t>Sediment Filter 5 Micron 10in</t>
  </si>
  <si>
    <t>Sediment Filters</t>
  </si>
  <si>
    <t>PO-2021</t>
  </si>
  <si>
    <t>CONF-2048</t>
  </si>
  <si>
    <t>GR-003</t>
  </si>
  <si>
    <t>RO Membrane 50 GPD</t>
  </si>
  <si>
    <t>RO Membranes</t>
  </si>
  <si>
    <t>PO-2022</t>
  </si>
  <si>
    <t>CONF-7056</t>
  </si>
  <si>
    <t>GR-004</t>
  </si>
  <si>
    <t>Filter Housing 10in Clear</t>
  </si>
  <si>
    <t>Filter Housings</t>
  </si>
  <si>
    <t>PO-2023</t>
  </si>
  <si>
    <t>CONF-7057</t>
  </si>
  <si>
    <t>GR-005</t>
  </si>
  <si>
    <t>TDS Meter Digital</t>
  </si>
  <si>
    <t>Testing Equipment</t>
  </si>
  <si>
    <t>PO-2024</t>
  </si>
  <si>
    <t>CONF-7058</t>
  </si>
  <si>
    <t>GR-006</t>
  </si>
  <si>
    <t>pH Test Strips 100pk</t>
  </si>
  <si>
    <t>Testing Supplies</t>
  </si>
  <si>
    <t>PO-2025</t>
  </si>
  <si>
    <t>CONF-7059</t>
  </si>
  <si>
    <t>GR-007</t>
  </si>
  <si>
    <t>Grinder Burr Set 64mm</t>
  </si>
  <si>
    <t>Equipment Parts</t>
  </si>
  <si>
    <t>Grinder Parts</t>
  </si>
  <si>
    <t>PO-2026</t>
  </si>
  <si>
    <t>CONF-7060</t>
  </si>
  <si>
    <t>set (1 EA)</t>
  </si>
  <si>
    <t>GR-008</t>
  </si>
  <si>
    <t>Espresso Machine Group Seal Kit</t>
  </si>
  <si>
    <t>Espresso Parts</t>
  </si>
  <si>
    <t>PO-2027</t>
  </si>
  <si>
    <t>CONF-8042</t>
  </si>
  <si>
    <t>GR-009</t>
  </si>
  <si>
    <t>Solenoid Valve 3-Way 24V</t>
  </si>
  <si>
    <t>PO-2028</t>
  </si>
  <si>
    <t>CONF-8043</t>
  </si>
  <si>
    <t>GR-010</t>
  </si>
  <si>
    <t>Boiler Element 1800W</t>
  </si>
  <si>
    <t>Boiler Parts</t>
  </si>
  <si>
    <t>PO-2029</t>
  </si>
  <si>
    <t>CONF-8044</t>
  </si>
  <si>
    <t>GR-011</t>
  </si>
  <si>
    <t>Pump Vibration 15 Bar</t>
  </si>
  <si>
    <t>Pump Parts</t>
  </si>
  <si>
    <t>PO-2030</t>
  </si>
  <si>
    <t>CONF-6039</t>
  </si>
  <si>
    <t>GR-012</t>
  </si>
  <si>
    <t>Digital Temperature Controller</t>
  </si>
  <si>
    <t>Controls</t>
  </si>
  <si>
    <t>PO-2031</t>
  </si>
  <si>
    <t>CONF-6040</t>
  </si>
  <si>
    <t>GR-013</t>
  </si>
  <si>
    <t>Calibration Weight Set 500g</t>
  </si>
  <si>
    <t>Calibration</t>
  </si>
  <si>
    <t>Scale Calibration</t>
  </si>
  <si>
    <t>PO-2032</t>
  </si>
  <si>
    <t>CONF-6041</t>
  </si>
  <si>
    <t>GR-014</t>
  </si>
  <si>
    <t>Certified Reference Weight 100g</t>
  </si>
  <si>
    <t>PO-2033</t>
  </si>
  <si>
    <t>CONF-6042</t>
  </si>
  <si>
    <t>GR-015</t>
  </si>
  <si>
    <t>Roaster Thermocouple Type J</t>
  </si>
  <si>
    <t>Temperature Calibration</t>
  </si>
  <si>
    <t>PO-2034</t>
  </si>
  <si>
    <t>CONF-6043</t>
  </si>
  <si>
    <t>GR-016</t>
  </si>
  <si>
    <t>Pressure Gauge 0-12 Bar</t>
  </si>
  <si>
    <t>Pressure Calibration</t>
  </si>
  <si>
    <t>PO-2035</t>
  </si>
  <si>
    <t>CONF-6044</t>
  </si>
  <si>
    <t>GR-017</t>
  </si>
  <si>
    <t>Flow Meter In-Line 3/8in</t>
  </si>
  <si>
    <t>Flow Control</t>
  </si>
  <si>
    <t>PO-2036</t>
  </si>
  <si>
    <t>CONF-6045</t>
  </si>
  <si>
    <t>GR-018</t>
  </si>
  <si>
    <t>Descale Solution Commercial 1gal</t>
  </si>
  <si>
    <t>Maintenance Chemicals</t>
  </si>
  <si>
    <t>Descalers</t>
  </si>
  <si>
    <t>PO-2037</t>
  </si>
  <si>
    <t>CONF-6046</t>
  </si>
  <si>
    <t>jug (1 EA)</t>
  </si>
  <si>
    <t>GR-019</t>
  </si>
  <si>
    <t>Lubricant Food Grade NSF H1 8oz</t>
  </si>
  <si>
    <t>Lubricants</t>
  </si>
  <si>
    <t>PO-2038</t>
  </si>
  <si>
    <t>CONF-7046</t>
  </si>
  <si>
    <t>bottle (1 EA)</t>
  </si>
  <si>
    <t>GR-020</t>
  </si>
  <si>
    <t>Safety Data Sheet Binder</t>
  </si>
  <si>
    <t>Documentation</t>
  </si>
  <si>
    <t>PO-2039</t>
  </si>
  <si>
    <t>CONF-7047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</si>
</sst>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1"/>
        <bgColor theme="1"/>
      </patternFill>
    </fill>
  </fills>
  <borders count="8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0" fontId="0" fillId="0" borderId="3" xfId="0" applyBorder="1"/>
    <xf numFmtId="0" fontId="0" fillId="0" borderId="4" xfId="0" applyBorder="1"/>
    <xf numFmtId="14" fontId="0" fillId="0" borderId="5" xfId="0" applyNumberFormat="1" applyBorder="1"/>
    <xf numFmtId="0" fontId="0" fillId="0" borderId="5" xfId="0" applyBorder="1"/>
    <xf numFmtId="1" fontId="0" fillId="0" borderId="6" xfId="0" applyNumberFormat="1" applyBorder="1"/>
    <xf numFmtId="14" fontId="0" fillId="0" borderId="6" xfId="0" applyNumberFormat="1" applyBorder="1"/>
    <xf numFmtId="0" fontId="0" fillId="0" borderId="6" xfId="0" applyBorder="1"/>
    <xf numFmtId="0" fontId="1" fillId="2" borderId="6" xfId="0" applyFont="1" applyFill="1" applyBorder="1"/>
    <xf numFmtId="164" fontId="0" fillId="0" borderId="5" xfId="0" applyNumberFormat="1" applyBorder="1"/>
    <xf numFmtId="0" fontId="1" fillId="2" borderId="5" xfId="0" applyFont="1" applyFill="1" applyBorder="1"/>
    <xf numFmtId="49" fontId="1" fillId="3" borderId="7" xfId="0" applyNumberFormat="1" applyFont="1" applyFill="1" applyBorder="1"/>
    <xf numFmtId="0" fontId="1" fillId="3" borderId="0" xfId="0" applyFont="1" applyFill="1"/>
    <xf numFmtId="0" fontId="0" fillId="0" borderId="0" xfId="0" applyNumberFormat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border outline="0">
        <right style="thin">
          <color indexed="64"/>
        </right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95249</xdr:colOff>
      <xdr:row>0</xdr:row>
      <xdr:rowOff>190499</xdr:rowOff>
    </xdr:from>
    <xdr:to>
      <xdr:col>23</xdr:col>
      <xdr:colOff>190499</xdr:colOff>
      <xdr:row>10</xdr:row>
      <xdr:rowOff>136071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02AD1E0-2AE1-2DC6-9F01-250C4CDA6954}"/>
            </a:ext>
          </a:extLst>
        </xdr:cNvPr>
        <xdr:cNvSpPr txBox="1"/>
      </xdr:nvSpPr>
      <xdr:spPr>
        <a:xfrm>
          <a:off x="25227642" y="190499"/>
          <a:ext cx="3156857" cy="18505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Workflow:</a:t>
          </a:r>
        </a:p>
        <a:p>
          <a:r>
            <a:rPr lang="en-US" sz="1100"/>
            <a:t>- A user on the Inventory Team  clicks Export</a:t>
          </a:r>
          <a:r>
            <a:rPr lang="en-US" sz="1100" baseline="0"/>
            <a:t> to AP in the Inflow sheet of the Inventory Management file</a:t>
          </a:r>
        </a:p>
        <a:p>
          <a:r>
            <a:rPr lang="en-US" sz="1100" baseline="0"/>
            <a:t>- This automatically updates the staging table with the latest entries from the Inventory file's Inflow sheet</a:t>
          </a:r>
        </a:p>
        <a:p>
          <a:r>
            <a:rPr lang="en-US" sz="1100" baseline="0"/>
            <a:t>- </a:t>
          </a:r>
          <a:r>
            <a:rPr lang="en-US"/>
            <a:t>AP then fills in the columns with black headers, entering their department's own transaction details for each corresponding inventory entry, so the two records can be reconciled and any discrepancies caught.</a:t>
          </a:r>
          <a:endParaRPr lang="en-US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A8BA29E-E4C2-4919-8B02-551F142300CF}" autoFormatId="16" applyNumberFormats="0" applyBorderFormats="0" applyFontFormats="0" applyPatternFormats="0" applyAlignmentFormats="0" applyWidthHeightFormats="0">
  <queryTableRefresh nextId="45">
    <queryTableFields count="18">
      <queryTableField id="27" name="Date" tableColumnId="5"/>
      <queryTableField id="28" name="SKU" tableColumnId="6"/>
      <queryTableField id="29" name="Item Name" tableColumnId="7"/>
      <queryTableField id="30" name="Category" tableColumnId="8"/>
      <queryTableField id="31" name="Sub-Category" tableColumnId="9"/>
      <queryTableField id="32" name="Quantity Purchased" tableColumnId="10"/>
      <queryTableField id="33" name="Unit Cost" tableColumnId="11"/>
      <queryTableField id="34" name="Total Cost" tableColumnId="12"/>
      <queryTableField id="35" name="Vendor" tableColumnId="13"/>
      <queryTableField id="36" name="PO Number" tableColumnId="14"/>
      <queryTableField id="37" name="Vendor Confirmation Number" tableColumnId="15"/>
      <queryTableField id="38" name="Lot Number" tableColumnId="16"/>
      <queryTableField id="39" name="Expiration Date" tableColumnId="17"/>
      <queryTableField id="40" name="Inflow Status" tableColumnId="18"/>
      <queryTableField id="41" name="Location" tableColumnId="19"/>
      <queryTableField id="42" name="Unit of Measurement" tableColumnId="20"/>
      <queryTableField id="43" name="Company" tableColumnId="21"/>
      <queryTableField id="44" name="Notes" tableColumnId="2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8FA29E2-7C67-4563-90DE-AD0535982BD5}" autoFormatId="16" applyNumberFormats="0" applyBorderFormats="0" applyFontFormats="0" applyPatternFormats="0" applyAlignmentFormats="0" applyWidthHeightFormats="0">
  <queryTableRefresh nextId="23">
    <queryTableFields count="4">
      <queryTableField id="19" name="Inventory.PO Date" tableColumnId="19"/>
      <queryTableField id="20" name="Inventory.PO Amount" tableColumnId="20"/>
      <queryTableField id="21" name="Inventory.PO Vendor" tableColumnId="21"/>
      <queryTableField id="22" name="Inventory.PO Number" tableColumnId="2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6529D67-29F8-4F53-A248-7F1BD9A818CE}" name="Table5" displayName="Table5" ref="A1:N1048576" totalsRowShown="0" headerRowDxfId="19" tableBorderDxfId="18">
  <autoFilter ref="A1:N1048576" xr:uid="{D6529D67-29F8-4F53-A248-7F1BD9A818CE}"/>
  <tableColumns count="14">
    <tableColumn id="1" xr3:uid="{7A89D1D8-8FD3-4C51-8509-6BCE54EDBB89}" name="PO Number"/>
    <tableColumn id="2" xr3:uid="{E3839643-3EAE-49D9-813F-77B2EEFC56AF}" name="Vendor"/>
    <tableColumn id="3" xr3:uid="{B5569D00-5777-4070-BF96-A699A0BA5683}" name="PO Date"/>
    <tableColumn id="4" xr3:uid="{9461C5E7-B03C-4E68-BF55-513049E41BA3}" name="PO Amount"/>
    <tableColumn id="5" xr3:uid="{4B633FCE-5305-4660-A916-89B04C883B52}" name="Invoice Number"/>
    <tableColumn id="6" xr3:uid="{3FEE81FC-07EE-4956-8D96-01E99759C059}" name="Invoice Date"/>
    <tableColumn id="7" xr3:uid="{30465E10-5A8B-4D4D-AAEC-18F03D124CFB}" name="Invoice Amount"/>
    <tableColumn id="8" xr3:uid="{CF710CE6-FAC1-44BF-8DC8-B0C909826070}" name="Received Status"/>
    <tableColumn id="9" xr3:uid="{92C417BC-2B6F-4A63-A000-5436B8E7C44B}" name="Date Received"/>
    <tableColumn id="10" xr3:uid="{705C6C25-6091-4813-80F2-22B4C88F90BD}" name="Entered in QB"/>
    <tableColumn id="11" xr3:uid="{50DE9B47-A4F3-412B-A794-945C8872BC3B}" name="Payment Due Date"/>
    <tableColumn id="12" xr3:uid="{4117CFD5-8E32-41F5-9670-603A182BBD29}" name="Payment Date"/>
    <tableColumn id="13" xr3:uid="{E2CC5C39-93FB-49CE-8810-78148504D6F1}" name="Payment Method"/>
    <tableColumn id="14" xr3:uid="{4A2B08A3-4818-418D-8588-8EAF8C160AFA}" name="Status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61F6D6E-BBDB-45C8-8A90-DB70404C5D98}" name="Inflow1" displayName="Inflow1" ref="A1:R91" tableType="queryTable" totalsRowShown="0">
  <autoFilter ref="A1:R91" xr:uid="{361F6D6E-BBDB-45C8-8A90-DB70404C5D98}"/>
  <tableColumns count="18">
    <tableColumn id="5" xr3:uid="{A0BBB01D-B526-4ADA-8427-316D7E3BE8DC}" uniqueName="5" name="Date" queryTableFieldId="27" dataDxfId="17"/>
    <tableColumn id="6" xr3:uid="{92822E6F-9608-455F-B910-3DA0D2D3E230}" uniqueName="6" name="SKU" queryTableFieldId="28" dataDxfId="16"/>
    <tableColumn id="7" xr3:uid="{FB4E0526-F092-4586-877D-93006E5996A8}" uniqueName="7" name="Item Name" queryTableFieldId="29" dataDxfId="15"/>
    <tableColumn id="8" xr3:uid="{F13F6F9C-ACF8-49D8-9B83-D872C4689EF0}" uniqueName="8" name="Category" queryTableFieldId="30" dataDxfId="14"/>
    <tableColumn id="9" xr3:uid="{F4FA2AB7-A590-4328-B9C5-4763F49C48DA}" uniqueName="9" name="Sub-Category" queryTableFieldId="31" dataDxfId="13"/>
    <tableColumn id="10" xr3:uid="{B233A1D8-3494-4054-A99C-66C6FB4001AE}" uniqueName="10" name="Quantity Purchased" queryTableFieldId="32"/>
    <tableColumn id="11" xr3:uid="{078255F8-DE55-4D81-9F07-B30C4AAEDE45}" uniqueName="11" name="Unit Cost" queryTableFieldId="33"/>
    <tableColumn id="12" xr3:uid="{D0468DF2-1FD6-4C6E-9ACA-4D27B111F49B}" uniqueName="12" name="Total Cost" queryTableFieldId="34"/>
    <tableColumn id="13" xr3:uid="{8B10E9AA-C0C3-4B4B-8A21-23531E77629C}" uniqueName="13" name="Vendor" queryTableFieldId="35" dataDxfId="12"/>
    <tableColumn id="14" xr3:uid="{B9AA8C3A-7944-4EA1-BF1A-AFD3CBB47537}" uniqueName="14" name="PO Number" queryTableFieldId="36" dataDxfId="11"/>
    <tableColumn id="15" xr3:uid="{C2688A7D-E9F6-475A-8E7B-1BA7100A0859}" uniqueName="15" name="Vendor Confirmation Number" queryTableFieldId="37" dataDxfId="10"/>
    <tableColumn id="16" xr3:uid="{9B67C4CE-2D0F-4191-890A-166536A91630}" uniqueName="16" name="Lot Number" queryTableFieldId="38" dataDxfId="9"/>
    <tableColumn id="17" xr3:uid="{84B49C75-5C67-4BE9-A2D7-340E5BF9DB24}" uniqueName="17" name="Expiration Date" queryTableFieldId="39" dataDxfId="8"/>
    <tableColumn id="18" xr3:uid="{51B9044F-B753-4AF9-9C4F-E8CBDF4A630A}" uniqueName="18" name="Inflow Status" queryTableFieldId="40" dataDxfId="7"/>
    <tableColumn id="19" xr3:uid="{A77CF422-E173-4884-B204-866D82B8D8E1}" uniqueName="19" name="Location" queryTableFieldId="41" dataDxfId="6"/>
    <tableColumn id="20" xr3:uid="{84F89C86-9676-4C7B-9D52-9C1E1811670D}" uniqueName="20" name="Unit of Measurement" queryTableFieldId="42" dataDxfId="5"/>
    <tableColumn id="21" xr3:uid="{6738E824-FFD5-4C1B-BA5F-B6E4A41490AC}" uniqueName="21" name="Company" queryTableFieldId="43" dataDxfId="4"/>
    <tableColumn id="22" xr3:uid="{52B4DD84-E4CA-4B1C-98D4-03EC6EF99539}" uniqueName="22" name="Notes" queryTableFieldId="44" dataDxfId="3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B924D9-CDF3-4067-AA66-3E477929B77C}" name="InflowAP" displayName="InflowAP" ref="A1:D91" tableType="queryTable" totalsRowShown="0">
  <autoFilter ref="A1:D91" xr:uid="{23B924D9-CDF3-4067-AA66-3E477929B77C}"/>
  <tableColumns count="4">
    <tableColumn id="19" xr3:uid="{FE5D1095-3501-4CC6-A2A2-C37CF07251CC}" uniqueName="19" name="Inventory.PO Date" queryTableFieldId="19" dataDxfId="2"/>
    <tableColumn id="20" xr3:uid="{6095259A-6A79-460B-B79F-222051D3E61F}" uniqueName="20" name="Inventory.PO Amount" queryTableFieldId="20"/>
    <tableColumn id="21" xr3:uid="{DBDAF63C-A572-429E-A9D6-6A20EB0985CB}" uniqueName="21" name="Inventory.PO Vendor" queryTableFieldId="21" dataDxfId="1"/>
    <tableColumn id="22" xr3:uid="{EE480279-1531-4C18-B748-BA8F0EC1EDCC}" uniqueName="22" name="Inventory.PO Number" queryTableFieldId="22" dataDxfId="0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9269244-8806-4269-8133-94EC941FA1F6}" name="Table7" displayName="Table7" ref="A1:C15" totalsRowShown="0">
  <autoFilter ref="A1:C15" xr:uid="{69269244-8806-4269-8133-94EC941FA1F6}"/>
  <tableColumns count="3">
    <tableColumn id="1" xr3:uid="{41CF9721-ADCB-484D-8ABE-908BE0B6AB0C}" name="Vendor Name"/>
    <tableColumn id="2" xr3:uid="{0EB61A4A-983A-43AD-8805-B1F0AED4D764}" name="Default Terms"/>
    <tableColumn id="3" xr3:uid="{778C4AC0-D6D4-4D53-AE87-71B063B389DE}" name="Default Payment Method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591B5-1F45-42BE-A4BC-969309B30C21}">
  <sheetPr codeName="Sheet1"/>
  <dimension ref="A1:R1048576"/>
  <sheetViews>
    <sheetView tabSelected="1" topLeftCell="D1" zoomScale="70" workbookViewId="0">
      <selection activeCell="C17" sqref="C17"/>
    </sheetView>
  </sheetViews>
  <sheetFormatPr defaultRowHeight="15" customHeight="1" x14ac:dyDescent="0.25"/>
  <cols>
    <col min="1" max="1" width="19.7109375" customWidth="1"/>
    <col min="2" max="2" width="13.140625" bestFit="1" customWidth="1"/>
    <col min="3" max="3" width="14.42578125" bestFit="1" customWidth="1"/>
    <col min="4" max="4" width="17.7109375" bestFit="1" customWidth="1"/>
    <col min="5" max="5" width="22.5703125" bestFit="1" customWidth="1"/>
    <col min="6" max="6" width="19.140625" bestFit="1" customWidth="1"/>
    <col min="7" max="7" width="22.5703125" bestFit="1" customWidth="1"/>
    <col min="8" max="8" width="23.85546875" bestFit="1" customWidth="1"/>
    <col min="9" max="9" width="21.7109375" bestFit="1" customWidth="1"/>
    <col min="10" max="10" width="20.7109375" bestFit="1" customWidth="1"/>
    <col min="11" max="11" width="26.28515625" bestFit="1" customWidth="1"/>
    <col min="12" max="12" width="21" bestFit="1" customWidth="1"/>
    <col min="13" max="13" width="24" bestFit="1" customWidth="1"/>
    <col min="14" max="14" width="12.42578125" bestFit="1" customWidth="1"/>
    <col min="15" max="15" width="26" style="12" bestFit="1" customWidth="1"/>
    <col min="16" max="16" width="22.42578125" style="9" bestFit="1" customWidth="1"/>
    <col min="17" max="17" width="22.85546875" style="9" bestFit="1" customWidth="1"/>
    <col min="18" max="18" width="26" style="9" bestFit="1" customWidth="1"/>
  </cols>
  <sheetData>
    <row r="1" spans="1:18" ht="15" customHeight="1" x14ac:dyDescent="0.25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3" t="s">
        <v>14</v>
      </c>
      <c r="P1" s="15" t="s">
        <v>15</v>
      </c>
      <c r="Q1" s="15" t="s">
        <v>16</v>
      </c>
      <c r="R1" s="15" t="s">
        <v>17</v>
      </c>
    </row>
    <row r="2" spans="1:18" ht="15" customHeight="1" x14ac:dyDescent="0.25">
      <c r="A2" s="3"/>
      <c r="C2" s="5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10" t="str" cm="1">
        <f t="array" ref="O2:O91">InflowAP[Inventory.PO Number]</f>
        <v>PO-1022</v>
      </c>
      <c r="P2" s="8" t="str" cm="1">
        <f t="array" ref="P2:P91">InflowAP[Inventory.PO Vendor]</f>
        <v>Green Source Coffee</v>
      </c>
      <c r="Q2" s="8" cm="1">
        <f t="array" ref="Q2:Q91">InflowAP[Inventory.PO Date]</f>
        <v>45658</v>
      </c>
      <c r="R2" s="14" cm="1">
        <f t="array" ref="R2:R91">InflowAP[Inventory.PO Amount]</f>
        <v>144.72</v>
      </c>
    </row>
    <row r="3" spans="1:18" ht="15" customHeight="1" x14ac:dyDescent="0.2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10" t="str">
        <v>PO-1039</v>
      </c>
      <c r="P3" s="9" t="str">
        <v>Green Source Coffee</v>
      </c>
      <c r="Q3" s="8">
        <v>45673</v>
      </c>
      <c r="R3" s="14">
        <v>345.6</v>
      </c>
    </row>
    <row r="4" spans="1:18" ht="15" customHeight="1" x14ac:dyDescent="0.2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10" t="str">
        <v>PO-1018</v>
      </c>
      <c r="P4" s="9" t="str">
        <v>Pacific Bean Co.</v>
      </c>
      <c r="Q4" s="8">
        <v>45674</v>
      </c>
      <c r="R4" s="14">
        <v>263.08</v>
      </c>
    </row>
    <row r="5" spans="1:18" ht="15" customHeight="1" x14ac:dyDescent="0.25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10" t="str">
        <v>PO-1029</v>
      </c>
      <c r="P5" s="9" t="str">
        <v>Pacific Bean Co.</v>
      </c>
      <c r="Q5" s="8">
        <v>45678</v>
      </c>
      <c r="R5" s="14">
        <v>10.96</v>
      </c>
    </row>
    <row r="6" spans="1:18" ht="15" customHeight="1" x14ac:dyDescent="0.25">
      <c r="O6" s="10" t="str">
        <v>PO-1016</v>
      </c>
      <c r="P6" s="9" t="str">
        <v>Gulf Coast Distributors</v>
      </c>
      <c r="Q6" s="8">
        <v>45681</v>
      </c>
      <c r="R6" s="9">
        <v>131.37</v>
      </c>
    </row>
    <row r="7" spans="1:18" ht="15" customHeight="1" x14ac:dyDescent="0.25">
      <c r="O7" s="10" t="str">
        <v>PO-1044</v>
      </c>
      <c r="P7" s="9" t="str">
        <v>Green Source Coffee</v>
      </c>
      <c r="Q7" s="8">
        <v>45682</v>
      </c>
      <c r="R7" s="9">
        <v>1327.2</v>
      </c>
    </row>
    <row r="8" spans="1:18" ht="15" customHeight="1" x14ac:dyDescent="0.25">
      <c r="O8" s="10" t="str">
        <v>PO-1002</v>
      </c>
      <c r="P8" s="9" t="str">
        <v>Pacific Bean Co.</v>
      </c>
      <c r="Q8" s="8">
        <v>45683</v>
      </c>
      <c r="R8" s="9">
        <v>25617.15</v>
      </c>
    </row>
    <row r="9" spans="1:18" ht="15" customHeight="1" x14ac:dyDescent="0.25">
      <c r="O9" s="10" t="str">
        <v>PO-1027</v>
      </c>
      <c r="P9" s="9" t="str">
        <v>Gulf Coast Distributors</v>
      </c>
      <c r="Q9" s="8">
        <v>45686</v>
      </c>
      <c r="R9" s="9">
        <v>639</v>
      </c>
    </row>
    <row r="10" spans="1:18" ht="15" customHeight="1" x14ac:dyDescent="0.25">
      <c r="O10" s="10" t="str">
        <v>PO-1020</v>
      </c>
      <c r="P10" s="9" t="str">
        <v>Internal</v>
      </c>
      <c r="Q10" s="9">
        <v>45687</v>
      </c>
      <c r="R10" s="9">
        <v>334.65000000000003</v>
      </c>
    </row>
    <row r="11" spans="1:18" ht="15" customHeight="1" x14ac:dyDescent="0.25">
      <c r="O11" s="10" t="str">
        <v>PO-1025</v>
      </c>
      <c r="P11" s="9" t="str">
        <v>Internal</v>
      </c>
      <c r="Q11" s="8">
        <v>45699</v>
      </c>
      <c r="R11" s="14">
        <v>50.22</v>
      </c>
    </row>
    <row r="12" spans="1:18" ht="15" customHeight="1" x14ac:dyDescent="0.25">
      <c r="O12" s="11" t="str">
        <v>PO-1023</v>
      </c>
      <c r="P12" s="9" t="str">
        <v>Internal</v>
      </c>
      <c r="Q12" s="9">
        <v>45703</v>
      </c>
      <c r="R12" s="9">
        <v>1137.8100000000002</v>
      </c>
    </row>
    <row r="13" spans="1:18" ht="15" customHeight="1" x14ac:dyDescent="0.25">
      <c r="O13" s="11" t="str">
        <v>PO-1048</v>
      </c>
      <c r="P13" s="9" t="str">
        <v>Internal</v>
      </c>
      <c r="Q13" s="9">
        <v>45706</v>
      </c>
      <c r="R13" s="9">
        <v>1534.5</v>
      </c>
    </row>
    <row r="14" spans="1:18" ht="15" customHeight="1" x14ac:dyDescent="0.25">
      <c r="O14" s="11" t="str">
        <v>PO-1000</v>
      </c>
      <c r="P14" s="9" t="str">
        <v>Internal</v>
      </c>
      <c r="Q14" s="9">
        <v>45707</v>
      </c>
      <c r="R14" s="9">
        <v>96</v>
      </c>
    </row>
    <row r="15" spans="1:18" ht="15" customHeight="1" x14ac:dyDescent="0.25">
      <c r="O15" s="11" t="str">
        <v>PO-1010</v>
      </c>
      <c r="P15" s="9" t="str">
        <v>TexPack Supplies</v>
      </c>
      <c r="Q15" s="9">
        <v>45712</v>
      </c>
      <c r="R15" s="9">
        <v>4885.8900000000003</v>
      </c>
    </row>
    <row r="16" spans="1:18" ht="15" customHeight="1" x14ac:dyDescent="0.25">
      <c r="O16" s="11" t="str">
        <v>PO-1015</v>
      </c>
      <c r="P16" s="9" t="str">
        <v>TexPack Supplies</v>
      </c>
      <c r="Q16" s="9">
        <v>45714</v>
      </c>
      <c r="R16" s="9">
        <v>16.740000000000002</v>
      </c>
    </row>
    <row r="17" spans="15:18" ht="15" customHeight="1" x14ac:dyDescent="0.25">
      <c r="O17" s="11" t="str">
        <v>PO-1038</v>
      </c>
      <c r="P17" s="9" t="str">
        <v>TexPack Supplies</v>
      </c>
      <c r="Q17" s="9">
        <v>45714</v>
      </c>
      <c r="R17" s="9">
        <v>46.53</v>
      </c>
    </row>
    <row r="18" spans="15:18" ht="15" customHeight="1" x14ac:dyDescent="0.25">
      <c r="O18" s="12" t="str">
        <v>PO-1036</v>
      </c>
      <c r="P18" s="9" t="str">
        <v>EcoPak</v>
      </c>
      <c r="Q18" s="9">
        <v>45715</v>
      </c>
      <c r="R18" s="9">
        <v>906.27</v>
      </c>
    </row>
    <row r="19" spans="15:18" ht="15" customHeight="1" x14ac:dyDescent="0.25">
      <c r="O19" s="12" t="str">
        <v>PO-1001</v>
      </c>
      <c r="P19" s="9" t="str">
        <v>TexPack Supplies</v>
      </c>
      <c r="Q19" s="9">
        <v>45716</v>
      </c>
      <c r="R19" s="9">
        <v>163.32</v>
      </c>
    </row>
    <row r="20" spans="15:18" ht="15" customHeight="1" x14ac:dyDescent="0.25">
      <c r="O20" s="12" t="str">
        <v>PO-1028</v>
      </c>
      <c r="P20" s="9" t="str">
        <v>TexPack Supplies</v>
      </c>
      <c r="Q20" s="9">
        <v>45719</v>
      </c>
      <c r="R20" s="9">
        <v>90.6</v>
      </c>
    </row>
    <row r="21" spans="15:18" ht="15" customHeight="1" x14ac:dyDescent="0.25">
      <c r="O21" s="12" t="str">
        <v>PO-1006</v>
      </c>
      <c r="P21" s="9" t="str">
        <v>TexPack Supplies</v>
      </c>
      <c r="Q21" s="9">
        <v>45720</v>
      </c>
      <c r="R21" s="9">
        <v>0.06</v>
      </c>
    </row>
    <row r="22" spans="15:18" ht="15" customHeight="1" x14ac:dyDescent="0.25">
      <c r="O22" s="12" t="str">
        <v>PO-1013</v>
      </c>
      <c r="P22" s="9" t="str">
        <v>TexPack Supplies</v>
      </c>
      <c r="Q22" s="9">
        <v>45721</v>
      </c>
      <c r="R22" s="9">
        <v>1452.96</v>
      </c>
    </row>
    <row r="23" spans="15:18" ht="15" customHeight="1" x14ac:dyDescent="0.25">
      <c r="O23" s="12" t="str">
        <v>PO-1007</v>
      </c>
      <c r="P23" s="9" t="str">
        <v>StickerMule</v>
      </c>
      <c r="Q23" s="9">
        <v>45727</v>
      </c>
      <c r="R23" s="9">
        <v>6.3000000000000007</v>
      </c>
    </row>
    <row r="24" spans="15:18" ht="15" customHeight="1" x14ac:dyDescent="0.25">
      <c r="O24" s="12" t="str">
        <v>PO-1041</v>
      </c>
      <c r="P24" s="9" t="str">
        <v>AusTex Equipment</v>
      </c>
      <c r="Q24" s="9">
        <v>45729</v>
      </c>
      <c r="R24" s="9">
        <v>36.119999999999997</v>
      </c>
    </row>
    <row r="25" spans="15:18" ht="15" customHeight="1" x14ac:dyDescent="0.25">
      <c r="O25" s="12" t="str">
        <v>PO-1021</v>
      </c>
      <c r="P25" s="9" t="str">
        <v>RoastRight Tools</v>
      </c>
      <c r="Q25" s="9">
        <v>45733</v>
      </c>
      <c r="R25" s="9">
        <v>962.6400000000001</v>
      </c>
    </row>
    <row r="26" spans="15:18" ht="15" customHeight="1" x14ac:dyDescent="0.25">
      <c r="O26" s="12" t="str">
        <v>PO-1024</v>
      </c>
      <c r="P26" s="9" t="str">
        <v>RoastRight Tools</v>
      </c>
      <c r="Q26" s="9">
        <v>45734</v>
      </c>
      <c r="R26" s="9">
        <v>30</v>
      </c>
    </row>
    <row r="27" spans="15:18" ht="15" customHeight="1" x14ac:dyDescent="0.25">
      <c r="O27" s="12" t="str">
        <v>PO-1009</v>
      </c>
      <c r="P27" s="9" t="str">
        <v>RoastRight Tools</v>
      </c>
      <c r="Q27" s="9">
        <v>45738</v>
      </c>
      <c r="R27" s="9">
        <v>930.54</v>
      </c>
    </row>
    <row r="28" spans="15:18" ht="15" customHeight="1" x14ac:dyDescent="0.25">
      <c r="O28" s="12" t="str">
        <v>PO-1008</v>
      </c>
      <c r="P28" s="9" t="str">
        <v>AusTex Equipment</v>
      </c>
      <c r="Q28" s="9">
        <v>45741</v>
      </c>
      <c r="R28" s="9">
        <v>122.43</v>
      </c>
    </row>
    <row r="29" spans="15:18" ht="15" customHeight="1" x14ac:dyDescent="0.25">
      <c r="O29" s="12" t="str">
        <v>PO-1040</v>
      </c>
      <c r="P29" s="9" t="str">
        <v>Lone Star Chemicals</v>
      </c>
      <c r="Q29" s="9">
        <v>45742</v>
      </c>
      <c r="R29" s="9">
        <v>27.1</v>
      </c>
    </row>
    <row r="30" spans="15:18" ht="15" customHeight="1" x14ac:dyDescent="0.25">
      <c r="O30" s="12" t="str">
        <v>PO-1047</v>
      </c>
      <c r="P30" s="9" t="str">
        <v>AusTex Equipment</v>
      </c>
      <c r="Q30" s="9">
        <v>45744</v>
      </c>
      <c r="R30" s="9">
        <v>10.02</v>
      </c>
    </row>
    <row r="31" spans="15:18" ht="15" customHeight="1" x14ac:dyDescent="0.25">
      <c r="O31" s="12" t="str">
        <v>PO-1004</v>
      </c>
      <c r="P31" s="9" t="str">
        <v>TexPack Supplies</v>
      </c>
      <c r="Q31" s="9">
        <v>45748</v>
      </c>
      <c r="R31" s="9">
        <v>291.16000000000003</v>
      </c>
    </row>
    <row r="32" spans="15:18" ht="15" customHeight="1" x14ac:dyDescent="0.25">
      <c r="O32" s="12" t="str">
        <v>PO-1034</v>
      </c>
      <c r="P32" s="9" t="str">
        <v>Gulf Coast Distributors</v>
      </c>
      <c r="Q32" s="9">
        <v>45760</v>
      </c>
      <c r="R32" s="9">
        <v>2084.64</v>
      </c>
    </row>
    <row r="33" spans="15:18" ht="15" customHeight="1" x14ac:dyDescent="0.25">
      <c r="O33" s="12" t="str">
        <v>PO-1045</v>
      </c>
      <c r="P33" s="9" t="str">
        <v>RoastRight Tools</v>
      </c>
      <c r="Q33" s="9">
        <v>45763</v>
      </c>
      <c r="R33" s="9">
        <v>50.16</v>
      </c>
    </row>
    <row r="34" spans="15:18" ht="15" customHeight="1" x14ac:dyDescent="0.25">
      <c r="O34" s="12" t="str">
        <v>PO-1049</v>
      </c>
      <c r="P34" s="9" t="str">
        <v>RoastRight Tools</v>
      </c>
      <c r="Q34" s="9">
        <v>45766</v>
      </c>
      <c r="R34" s="9">
        <v>12.54</v>
      </c>
    </row>
    <row r="35" spans="15:18" ht="15" customHeight="1" x14ac:dyDescent="0.25">
      <c r="O35" s="12" t="str">
        <v>PO-1014</v>
      </c>
      <c r="P35" s="9" t="str">
        <v>RoastRight Tools</v>
      </c>
      <c r="Q35" s="9">
        <v>45767</v>
      </c>
      <c r="R35" s="9">
        <v>74.73</v>
      </c>
    </row>
    <row r="36" spans="15:18" ht="15" customHeight="1" x14ac:dyDescent="0.25">
      <c r="O36" s="12" t="str">
        <v>PO-1012</v>
      </c>
      <c r="P36" s="9" t="str">
        <v>RoastRight Tools</v>
      </c>
      <c r="Q36" s="9">
        <v>45775</v>
      </c>
      <c r="R36" s="9">
        <v>81.300000000000011</v>
      </c>
    </row>
    <row r="37" spans="15:18" ht="15" customHeight="1" x14ac:dyDescent="0.25">
      <c r="O37" s="12" t="str">
        <v>PO-1019</v>
      </c>
      <c r="P37" s="9" t="str">
        <v>RoastRight Tools</v>
      </c>
      <c r="Q37" s="9">
        <v>45777</v>
      </c>
      <c r="R37" s="9">
        <v>9.75</v>
      </c>
    </row>
    <row r="38" spans="15:18" ht="15" customHeight="1" x14ac:dyDescent="0.25">
      <c r="O38" s="12" t="str">
        <v>PO-1031</v>
      </c>
      <c r="P38" s="9" t="str">
        <v>AusTex Equipment</v>
      </c>
      <c r="Q38" s="9">
        <v>45779</v>
      </c>
      <c r="R38" s="9">
        <v>4202</v>
      </c>
    </row>
    <row r="39" spans="15:18" ht="15" customHeight="1" x14ac:dyDescent="0.25">
      <c r="O39" s="12" t="str">
        <v>PO-1043</v>
      </c>
      <c r="P39" s="9" t="str">
        <v>Internal</v>
      </c>
      <c r="Q39" s="9">
        <v>45779</v>
      </c>
      <c r="R39" s="9">
        <v>11030.25</v>
      </c>
    </row>
    <row r="40" spans="15:18" ht="15" customHeight="1" x14ac:dyDescent="0.25">
      <c r="O40" s="12" t="str">
        <v>PO-1035</v>
      </c>
      <c r="P40" s="9" t="str">
        <v>Lone Star Chemicals</v>
      </c>
      <c r="Q40" s="9">
        <v>45790</v>
      </c>
      <c r="R40" s="9">
        <v>5088</v>
      </c>
    </row>
    <row r="41" spans="15:18" ht="15" customHeight="1" x14ac:dyDescent="0.25">
      <c r="O41" s="12" t="str">
        <v>PO-1032</v>
      </c>
      <c r="P41" s="9" t="str">
        <v>Lone Star Chemicals</v>
      </c>
      <c r="Q41" s="9">
        <v>45793</v>
      </c>
      <c r="R41" s="9">
        <v>2645.76</v>
      </c>
    </row>
    <row r="42" spans="15:18" ht="15" customHeight="1" x14ac:dyDescent="0.25">
      <c r="O42" s="12" t="str">
        <v>PO-1030</v>
      </c>
      <c r="P42" s="9" t="str">
        <v>Lone Star Chemicals</v>
      </c>
      <c r="Q42" s="9">
        <v>45794</v>
      </c>
      <c r="R42" s="9">
        <v>135.66</v>
      </c>
    </row>
    <row r="43" spans="15:18" ht="15" customHeight="1" x14ac:dyDescent="0.25">
      <c r="O43" s="12" t="str">
        <v>PO-1033</v>
      </c>
      <c r="P43" s="9" t="str">
        <v>Lone Star Chemicals</v>
      </c>
      <c r="Q43" s="9">
        <v>45796</v>
      </c>
      <c r="R43" s="9">
        <v>140883.48000000001</v>
      </c>
    </row>
    <row r="44" spans="15:18" ht="15" customHeight="1" x14ac:dyDescent="0.25">
      <c r="O44" s="12" t="str">
        <v>PO-1042</v>
      </c>
      <c r="P44" s="9" t="str">
        <v>Gulf Coast Distributors</v>
      </c>
      <c r="Q44" s="9">
        <v>45796</v>
      </c>
      <c r="R44" s="9">
        <v>6605.52</v>
      </c>
    </row>
    <row r="45" spans="15:18" ht="15" customHeight="1" x14ac:dyDescent="0.25">
      <c r="O45" s="12" t="str">
        <v>PO-1037</v>
      </c>
      <c r="P45" s="9" t="str">
        <v>Lone Star Chemicals</v>
      </c>
      <c r="Q45" s="9">
        <v>45808</v>
      </c>
      <c r="R45" s="9">
        <v>6939.36</v>
      </c>
    </row>
    <row r="46" spans="15:18" ht="15" customHeight="1" x14ac:dyDescent="0.25">
      <c r="O46" s="12" t="str">
        <v>PO-1026</v>
      </c>
      <c r="P46" s="9" t="str">
        <v>Lone Star Chemicals</v>
      </c>
      <c r="Q46" s="9">
        <v>45811</v>
      </c>
      <c r="R46" s="9">
        <v>1011.99</v>
      </c>
    </row>
    <row r="47" spans="15:18" ht="15" customHeight="1" x14ac:dyDescent="0.25">
      <c r="O47" s="12" t="str">
        <v>PO-1017</v>
      </c>
      <c r="P47" s="9" t="str">
        <v>ChemSource Pro</v>
      </c>
      <c r="Q47" s="9">
        <v>45818</v>
      </c>
      <c r="R47" s="9">
        <v>984.5</v>
      </c>
    </row>
    <row r="48" spans="15:18" ht="15" customHeight="1" x14ac:dyDescent="0.25">
      <c r="O48" s="12" t="str">
        <v>PO-1003</v>
      </c>
      <c r="P48" s="9" t="str">
        <v>ChemSource Pro</v>
      </c>
      <c r="Q48" s="9">
        <v>45820</v>
      </c>
      <c r="R48" s="9">
        <v>3744</v>
      </c>
    </row>
    <row r="49" spans="15:18" ht="15" customHeight="1" x14ac:dyDescent="0.25">
      <c r="O49" s="12" t="str">
        <v>PO-1011</v>
      </c>
      <c r="P49" s="9" t="str">
        <v>ChemSource Pro</v>
      </c>
      <c r="Q49" s="9">
        <v>45825</v>
      </c>
      <c r="R49" s="9">
        <v>14336</v>
      </c>
    </row>
    <row r="50" spans="15:18" ht="15" customHeight="1" x14ac:dyDescent="0.25">
      <c r="O50" s="12" t="str">
        <v>PO-1046</v>
      </c>
      <c r="P50" s="9" t="str">
        <v>ChemSource Pro</v>
      </c>
      <c r="Q50" s="9">
        <v>45825</v>
      </c>
      <c r="R50" s="9">
        <v>96</v>
      </c>
    </row>
    <row r="51" spans="15:18" ht="15" customHeight="1" x14ac:dyDescent="0.25">
      <c r="O51" s="12" t="str">
        <v>PO-1005</v>
      </c>
      <c r="P51" s="9" t="str">
        <v>TXPaper Co.</v>
      </c>
      <c r="Q51" s="9">
        <v>45832</v>
      </c>
      <c r="R51" s="9">
        <v>108</v>
      </c>
    </row>
    <row r="52" spans="15:18" ht="15" customHeight="1" x14ac:dyDescent="0.25">
      <c r="O52" s="12" t="str">
        <v>PO-2000</v>
      </c>
      <c r="P52" s="9" t="str">
        <v>TXPaper Co.</v>
      </c>
      <c r="Q52" s="9">
        <v>45833</v>
      </c>
      <c r="R52" s="9">
        <v>360</v>
      </c>
    </row>
    <row r="53" spans="15:18" ht="15" customHeight="1" x14ac:dyDescent="0.25">
      <c r="O53" s="12" t="str">
        <v>PO-2001</v>
      </c>
      <c r="P53" s="9" t="str">
        <v>CleanTex Supply</v>
      </c>
      <c r="Q53" s="9">
        <v>45834</v>
      </c>
      <c r="R53" s="9">
        <v>620</v>
      </c>
    </row>
    <row r="54" spans="15:18" ht="15" customHeight="1" x14ac:dyDescent="0.25">
      <c r="O54" s="12" t="str">
        <v>PO-2002</v>
      </c>
      <c r="P54" s="9" t="str">
        <v>CleanTex Supply</v>
      </c>
      <c r="Q54" s="9">
        <v>45837</v>
      </c>
      <c r="R54" s="9">
        <v>240</v>
      </c>
    </row>
    <row r="55" spans="15:18" ht="15" customHeight="1" x14ac:dyDescent="0.25">
      <c r="O55" s="12" t="str">
        <v>PO-2003</v>
      </c>
      <c r="P55" s="9" t="str">
        <v>CleanTex Supply</v>
      </c>
      <c r="Q55" s="9">
        <v>45837</v>
      </c>
      <c r="R55" s="9">
        <v>360</v>
      </c>
    </row>
    <row r="56" spans="15:18" ht="15" customHeight="1" x14ac:dyDescent="0.25">
      <c r="O56" s="12" t="str">
        <v>PO-2004</v>
      </c>
      <c r="P56" s="9" t="str">
        <v>CleanTex Supply</v>
      </c>
      <c r="Q56" s="9">
        <v>45837</v>
      </c>
      <c r="R56" s="9">
        <v>1152</v>
      </c>
    </row>
    <row r="57" spans="15:18" ht="15" customHeight="1" x14ac:dyDescent="0.25">
      <c r="O57" s="12" t="str">
        <v>PO-2005</v>
      </c>
      <c r="P57" s="9" t="str">
        <v>SafeHands Tex</v>
      </c>
      <c r="Q57" s="9">
        <v>45838</v>
      </c>
      <c r="R57" s="9">
        <v>333.5</v>
      </c>
    </row>
    <row r="58" spans="15:18" ht="15" customHeight="1" x14ac:dyDescent="0.25">
      <c r="O58" s="12" t="str">
        <v>PO-2006</v>
      </c>
      <c r="P58" s="9" t="str">
        <v>SafeHands Tex</v>
      </c>
      <c r="Q58" s="9">
        <v>45838</v>
      </c>
      <c r="R58" s="9">
        <v>855.5</v>
      </c>
    </row>
    <row r="59" spans="15:18" ht="15" customHeight="1" x14ac:dyDescent="0.25">
      <c r="O59" s="12" t="str">
        <v>PO-2007</v>
      </c>
      <c r="P59" s="9" t="str">
        <v>SafeHands Tex</v>
      </c>
      <c r="Q59" s="9">
        <v>45838</v>
      </c>
      <c r="R59" s="9">
        <v>5600</v>
      </c>
    </row>
    <row r="60" spans="15:18" ht="15" customHeight="1" x14ac:dyDescent="0.25">
      <c r="O60" s="12" t="str">
        <v>PO-2008</v>
      </c>
      <c r="P60" s="9" t="str">
        <v>SafeHands Tex</v>
      </c>
      <c r="Q60" s="9">
        <v>45839</v>
      </c>
      <c r="R60" s="9">
        <v>1740</v>
      </c>
    </row>
    <row r="61" spans="15:18" ht="15" customHeight="1" x14ac:dyDescent="0.25">
      <c r="O61" s="12" t="str">
        <v>PO-2009</v>
      </c>
      <c r="P61" s="9" t="str">
        <v>TXPaper Co.</v>
      </c>
      <c r="Q61" s="9">
        <v>45839</v>
      </c>
      <c r="R61" s="9">
        <v>576</v>
      </c>
    </row>
    <row r="62" spans="15:18" ht="15" customHeight="1" x14ac:dyDescent="0.25">
      <c r="O62" s="12" t="str">
        <v>PO-2010</v>
      </c>
      <c r="P62" s="9" t="str">
        <v>TexPack Supplies</v>
      </c>
      <c r="Q62" s="9">
        <v>45841</v>
      </c>
      <c r="R62" s="9">
        <v>1152</v>
      </c>
    </row>
    <row r="63" spans="15:18" ht="15" customHeight="1" x14ac:dyDescent="0.25">
      <c r="O63" s="12" t="str">
        <v>PO-2011</v>
      </c>
      <c r="P63" s="9" t="str">
        <v>TexPack Supplies</v>
      </c>
      <c r="Q63" s="9">
        <v>45841</v>
      </c>
      <c r="R63" s="9">
        <v>1404</v>
      </c>
    </row>
    <row r="64" spans="15:18" ht="15" customHeight="1" x14ac:dyDescent="0.25">
      <c r="O64" s="12" t="str">
        <v>PO-2012</v>
      </c>
      <c r="P64" s="9" t="str">
        <v>TexPack Supplies</v>
      </c>
      <c r="Q64" s="9">
        <v>45843</v>
      </c>
      <c r="R64" s="9">
        <v>320</v>
      </c>
    </row>
    <row r="65" spans="15:18" ht="15" customHeight="1" x14ac:dyDescent="0.25">
      <c r="O65" s="12" t="str">
        <v>PO-2013</v>
      </c>
      <c r="P65" s="9" t="str">
        <v>TexPack Supplies</v>
      </c>
      <c r="Q65" s="9">
        <v>45843</v>
      </c>
      <c r="R65" s="9">
        <v>990</v>
      </c>
    </row>
    <row r="66" spans="15:18" ht="15" customHeight="1" x14ac:dyDescent="0.25">
      <c r="O66" s="12" t="str">
        <v>PO-2014</v>
      </c>
      <c r="P66" s="9" t="str">
        <v>Gulf Coast Distributors</v>
      </c>
      <c r="Q66" s="9">
        <v>45846</v>
      </c>
      <c r="R66" s="9">
        <v>936</v>
      </c>
    </row>
    <row r="67" spans="15:18" ht="15" customHeight="1" x14ac:dyDescent="0.25">
      <c r="O67" s="12" t="str">
        <v>PO-2015</v>
      </c>
      <c r="P67" s="9" t="str">
        <v>TexPack Supplies</v>
      </c>
      <c r="Q67" s="9">
        <v>45846</v>
      </c>
      <c r="R67" s="9">
        <v>7192</v>
      </c>
    </row>
    <row r="68" spans="15:18" ht="15" customHeight="1" x14ac:dyDescent="0.25">
      <c r="O68" s="12" t="str">
        <v>PO-2016</v>
      </c>
      <c r="P68" s="9" t="str">
        <v>ChemSource Pro</v>
      </c>
      <c r="Q68" s="9">
        <v>45847</v>
      </c>
      <c r="R68" s="9">
        <v>13464</v>
      </c>
    </row>
    <row r="69" spans="15:18" ht="15" customHeight="1" x14ac:dyDescent="0.25">
      <c r="O69" s="12" t="str">
        <v>PO-2017</v>
      </c>
      <c r="P69" s="9" t="str">
        <v>ChemSource Pro</v>
      </c>
      <c r="Q69" s="9">
        <v>45847</v>
      </c>
      <c r="R69" s="9">
        <v>13656</v>
      </c>
    </row>
    <row r="70" spans="15:18" ht="15" customHeight="1" x14ac:dyDescent="0.25">
      <c r="O70" s="12" t="str">
        <v>PO-2018</v>
      </c>
      <c r="P70" s="9" t="str">
        <v>CleanTex Supply</v>
      </c>
      <c r="Q70" s="9">
        <v>45847</v>
      </c>
      <c r="R70" s="9">
        <v>280</v>
      </c>
    </row>
    <row r="71" spans="15:18" ht="15" customHeight="1" x14ac:dyDescent="0.25">
      <c r="O71" s="12" t="str">
        <v>PO-2019</v>
      </c>
      <c r="P71" s="9" t="str">
        <v>SafeHands Tex</v>
      </c>
      <c r="Q71" s="9">
        <v>45847</v>
      </c>
      <c r="R71" s="9">
        <v>510</v>
      </c>
    </row>
    <row r="72" spans="15:18" ht="15" customHeight="1" x14ac:dyDescent="0.25">
      <c r="O72" s="12" t="str">
        <v>PO-2020</v>
      </c>
      <c r="P72" s="9" t="str">
        <v>AquaRim Systems</v>
      </c>
      <c r="Q72" s="9">
        <v>45848</v>
      </c>
      <c r="R72" s="9">
        <v>3696</v>
      </c>
    </row>
    <row r="73" spans="15:18" ht="15" customHeight="1" x14ac:dyDescent="0.25">
      <c r="O73" s="12" t="str">
        <v>PO-2021</v>
      </c>
      <c r="P73" s="9" t="str">
        <v>AquaRim Systems</v>
      </c>
      <c r="Q73" s="9">
        <v>45848</v>
      </c>
      <c r="R73" s="9">
        <v>810</v>
      </c>
    </row>
    <row r="74" spans="15:18" ht="15" customHeight="1" x14ac:dyDescent="0.25">
      <c r="O74" s="12" t="str">
        <v>PO-2022</v>
      </c>
      <c r="P74" s="9" t="str">
        <v>AquaRim Systems</v>
      </c>
      <c r="Q74" s="9">
        <v>45849</v>
      </c>
      <c r="R74" s="9">
        <v>1848</v>
      </c>
    </row>
    <row r="75" spans="15:18" ht="15" customHeight="1" x14ac:dyDescent="0.25">
      <c r="O75" s="12" t="str">
        <v>PO-2023</v>
      </c>
      <c r="P75" s="9" t="str">
        <v>AquaRim Systems</v>
      </c>
      <c r="Q75" s="9">
        <v>45849</v>
      </c>
      <c r="R75" s="9">
        <v>2688</v>
      </c>
    </row>
    <row r="76" spans="15:18" ht="15" customHeight="1" x14ac:dyDescent="0.25">
      <c r="O76" s="12" t="str">
        <v>PO-2024</v>
      </c>
      <c r="P76" s="9" t="str">
        <v>AquaRim Systems</v>
      </c>
      <c r="Q76" s="9">
        <v>45849</v>
      </c>
      <c r="R76" s="9">
        <v>54</v>
      </c>
    </row>
    <row r="77" spans="15:18" ht="15" customHeight="1" x14ac:dyDescent="0.25">
      <c r="O77" s="12" t="str">
        <v>PO-2025</v>
      </c>
      <c r="P77" s="9" t="str">
        <v>AusTex Equipment</v>
      </c>
      <c r="Q77" s="9">
        <v>45850</v>
      </c>
      <c r="R77" s="9">
        <v>14</v>
      </c>
    </row>
    <row r="78" spans="15:18" ht="15" customHeight="1" x14ac:dyDescent="0.25">
      <c r="O78" s="12" t="str">
        <v>PO-2026</v>
      </c>
      <c r="P78" s="9" t="str">
        <v>RoastRight Tools</v>
      </c>
      <c r="Q78" s="9">
        <v>45850</v>
      </c>
      <c r="R78" s="9">
        <v>870</v>
      </c>
    </row>
    <row r="79" spans="15:18" ht="15" customHeight="1" x14ac:dyDescent="0.25">
      <c r="O79" s="12" t="str">
        <v>PO-2027</v>
      </c>
      <c r="P79" s="9" t="str">
        <v>RoastRight Tools</v>
      </c>
      <c r="Q79" s="9">
        <v>45851</v>
      </c>
      <c r="R79" s="9">
        <v>272</v>
      </c>
    </row>
    <row r="80" spans="15:18" ht="15" customHeight="1" x14ac:dyDescent="0.25">
      <c r="O80" s="12" t="str">
        <v>PO-2028</v>
      </c>
      <c r="P80" s="9" t="str">
        <v>AusTex Equipment</v>
      </c>
      <c r="Q80" s="9">
        <v>45851</v>
      </c>
      <c r="R80" s="9">
        <v>126</v>
      </c>
    </row>
    <row r="81" spans="15:18" ht="15" customHeight="1" x14ac:dyDescent="0.25">
      <c r="O81" s="12" t="str">
        <v>PO-2029</v>
      </c>
      <c r="P81" s="9" t="str">
        <v>AusTex Equipment</v>
      </c>
      <c r="Q81" s="9">
        <v>45852</v>
      </c>
      <c r="R81" s="9">
        <v>258</v>
      </c>
    </row>
    <row r="82" spans="15:18" ht="15" customHeight="1" x14ac:dyDescent="0.25">
      <c r="O82" s="12" t="str">
        <v>PO-2030</v>
      </c>
      <c r="P82" s="9" t="str">
        <v>AusTex Equipment</v>
      </c>
      <c r="Q82" s="9">
        <v>45852</v>
      </c>
      <c r="R82" s="9">
        <v>324</v>
      </c>
    </row>
    <row r="83" spans="15:18" ht="15" customHeight="1" x14ac:dyDescent="0.25">
      <c r="O83" s="12" t="str">
        <v>PO-2031</v>
      </c>
      <c r="P83" s="9" t="str">
        <v>AusTex Equipment</v>
      </c>
      <c r="Q83" s="9">
        <v>45853</v>
      </c>
      <c r="R83" s="9">
        <v>248</v>
      </c>
    </row>
    <row r="84" spans="15:18" ht="15" customHeight="1" x14ac:dyDescent="0.25">
      <c r="O84" s="12" t="str">
        <v>PO-2032</v>
      </c>
      <c r="P84" s="9" t="str">
        <v>AusTex Equipment</v>
      </c>
      <c r="Q84" s="9">
        <v>45853</v>
      </c>
      <c r="R84" s="9">
        <v>84</v>
      </c>
    </row>
    <row r="85" spans="15:18" ht="15" customHeight="1" x14ac:dyDescent="0.25">
      <c r="O85" s="12" t="str">
        <v>PO-2033</v>
      </c>
      <c r="P85" s="9" t="str">
        <v>AusTex Equipment</v>
      </c>
      <c r="Q85" s="9">
        <v>45853</v>
      </c>
      <c r="R85" s="9">
        <v>56</v>
      </c>
    </row>
    <row r="86" spans="15:18" ht="15" customHeight="1" x14ac:dyDescent="0.25">
      <c r="O86" s="12" t="str">
        <v>PO-2034</v>
      </c>
      <c r="P86" s="9" t="str">
        <v>AusTex Equipment</v>
      </c>
      <c r="Q86" s="9">
        <v>45854</v>
      </c>
      <c r="R86" s="9">
        <v>165</v>
      </c>
    </row>
    <row r="87" spans="15:18" ht="15" customHeight="1" x14ac:dyDescent="0.25">
      <c r="O87" s="12" t="str">
        <v>PO-2035</v>
      </c>
      <c r="P87" s="9" t="str">
        <v>AusTex Equipment</v>
      </c>
      <c r="Q87" s="9">
        <v>45854</v>
      </c>
      <c r="R87" s="9">
        <v>136</v>
      </c>
    </row>
    <row r="88" spans="15:18" ht="15" customHeight="1" x14ac:dyDescent="0.25">
      <c r="O88" s="12" t="str">
        <v>PO-2036</v>
      </c>
      <c r="P88" s="9" t="str">
        <v>AusTex Equipment</v>
      </c>
      <c r="Q88" s="9">
        <v>45857</v>
      </c>
      <c r="R88" s="9">
        <v>192</v>
      </c>
    </row>
    <row r="89" spans="15:18" ht="15" customHeight="1" x14ac:dyDescent="0.25">
      <c r="O89" s="12" t="str">
        <v>PO-2037</v>
      </c>
      <c r="P89" s="9" t="str">
        <v>Lone Star Chemicals</v>
      </c>
      <c r="Q89" s="9">
        <v>45857</v>
      </c>
      <c r="R89" s="9">
        <v>190</v>
      </c>
    </row>
    <row r="90" spans="15:18" ht="15" customHeight="1" x14ac:dyDescent="0.25">
      <c r="O90" s="12" t="str">
        <v>PO-2038</v>
      </c>
      <c r="P90" s="9" t="str">
        <v>Lone Star Chemicals</v>
      </c>
      <c r="Q90" s="9">
        <v>45870</v>
      </c>
      <c r="R90" s="9">
        <v>110</v>
      </c>
    </row>
    <row r="91" spans="15:18" ht="15" customHeight="1" x14ac:dyDescent="0.25">
      <c r="O91" s="12" t="str">
        <v>PO-2039</v>
      </c>
      <c r="P91" s="9" t="str">
        <v>CleanTex Supply</v>
      </c>
      <c r="Q91" s="9">
        <v>45870</v>
      </c>
      <c r="R91" s="9">
        <v>126</v>
      </c>
    </row>
    <row r="1048576" x14ac:dyDescent="0.25"/>
  </sheetData>
  <dataValidations count="1">
    <dataValidation type="list" allowBlank="1" showInputMessage="1" showErrorMessage="1" sqref="J2" xr:uid="{936D1218-0B01-43EB-AAA4-0DCA4B4E318A}">
      <formula1>"Yes, No"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1257D-5A4B-4935-AA62-8EAC68CF1217}">
  <sheetPr codeName="Sheet3"/>
  <dimension ref="A1:AH91"/>
  <sheetViews>
    <sheetView workbookViewId="0">
      <selection activeCell="C35" sqref="C35"/>
    </sheetView>
  </sheetViews>
  <sheetFormatPr defaultRowHeight="15" x14ac:dyDescent="0.25"/>
  <cols>
    <col min="1" max="1" width="9.42578125" bestFit="1" customWidth="1"/>
    <col min="2" max="2" width="7.42578125" bestFit="1" customWidth="1"/>
    <col min="3" max="3" width="39.28515625" bestFit="1" customWidth="1"/>
    <col min="4" max="4" width="24.85546875" bestFit="1" customWidth="1"/>
    <col min="5" max="5" width="22.85546875" bestFit="1" customWidth="1"/>
    <col min="6" max="6" width="21.140625" bestFit="1" customWidth="1"/>
    <col min="7" max="7" width="12" bestFit="1" customWidth="1"/>
    <col min="8" max="8" width="12.42578125" bestFit="1" customWidth="1"/>
    <col min="9" max="9" width="21.140625" bestFit="1" customWidth="1"/>
    <col min="10" max="10" width="13.5703125" bestFit="1" customWidth="1"/>
    <col min="11" max="11" width="30.42578125" bestFit="1" customWidth="1"/>
    <col min="12" max="12" width="15.140625" bestFit="1" customWidth="1"/>
    <col min="13" max="13" width="17.28515625" bestFit="1" customWidth="1"/>
    <col min="14" max="14" width="15" bestFit="1" customWidth="1"/>
    <col min="15" max="15" width="26.42578125" bestFit="1" customWidth="1"/>
    <col min="16" max="16" width="22.42578125" bestFit="1" customWidth="1"/>
    <col min="17" max="17" width="19.5703125" bestFit="1" customWidth="1"/>
    <col min="18" max="18" width="8.7109375" bestFit="1" customWidth="1"/>
    <col min="19" max="19" width="18.140625" bestFit="1" customWidth="1"/>
    <col min="20" max="20" width="20.85546875" bestFit="1" customWidth="1"/>
    <col min="21" max="21" width="17.42578125" bestFit="1" customWidth="1"/>
    <col min="22" max="22" width="21.140625" bestFit="1" customWidth="1"/>
    <col min="23" max="23" width="10.140625" bestFit="1" customWidth="1"/>
    <col min="24" max="24" width="6.5703125" bestFit="1" customWidth="1"/>
    <col min="25" max="25" width="50.140625" bestFit="1" customWidth="1"/>
    <col min="26" max="26" width="10.42578125" bestFit="1" customWidth="1"/>
    <col min="27" max="27" width="14.42578125" bestFit="1" customWidth="1"/>
    <col min="28" max="28" width="19.7109375" bestFit="1" customWidth="1"/>
    <col min="29" max="29" width="10.85546875" bestFit="1" customWidth="1"/>
    <col min="30" max="30" width="11.42578125" bestFit="1" customWidth="1"/>
    <col min="31" max="31" width="9" bestFit="1" customWidth="1"/>
    <col min="32" max="32" width="12.5703125" bestFit="1" customWidth="1"/>
    <col min="33" max="33" width="27.85546875" bestFit="1" customWidth="1"/>
    <col min="34" max="34" width="12.7109375" style="2" bestFit="1" customWidth="1"/>
    <col min="35" max="35" width="15.85546875" bestFit="1" customWidth="1"/>
    <col min="36" max="36" width="14" bestFit="1" customWidth="1"/>
    <col min="37" max="37" width="10.42578125" bestFit="1" customWidth="1"/>
    <col min="38" max="38" width="20.5703125" bestFit="1" customWidth="1"/>
    <col min="39" max="39" width="13.85546875" bestFit="1" customWidth="1"/>
    <col min="40" max="40" width="35.85546875" bestFit="1" customWidth="1"/>
  </cols>
  <sheetData>
    <row r="1" spans="1:34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1</v>
      </c>
      <c r="J1" t="s">
        <v>0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AH1"/>
    </row>
    <row r="2" spans="1:34" x14ac:dyDescent="0.25">
      <c r="A2" s="1">
        <v>45658</v>
      </c>
      <c r="B2" s="18" t="s">
        <v>43</v>
      </c>
      <c r="C2" s="18" t="s">
        <v>44</v>
      </c>
      <c r="D2" s="18" t="s">
        <v>45</v>
      </c>
      <c r="E2" s="18" t="s">
        <v>46</v>
      </c>
      <c r="F2">
        <v>24</v>
      </c>
      <c r="G2">
        <v>6.03</v>
      </c>
      <c r="H2">
        <v>144.72</v>
      </c>
      <c r="I2" s="18" t="s">
        <v>47</v>
      </c>
      <c r="J2" s="18" t="s">
        <v>48</v>
      </c>
      <c r="K2" s="18" t="s">
        <v>49</v>
      </c>
      <c r="L2" s="18" t="s">
        <v>50</v>
      </c>
      <c r="M2" s="1">
        <v>46107</v>
      </c>
      <c r="N2" s="18" t="s">
        <v>34</v>
      </c>
      <c r="O2" s="18" t="s">
        <v>51</v>
      </c>
      <c r="P2" s="18" t="s">
        <v>52</v>
      </c>
      <c r="Q2" s="18" t="s">
        <v>53</v>
      </c>
      <c r="R2" s="18"/>
      <c r="AH2"/>
    </row>
    <row r="3" spans="1:34" x14ac:dyDescent="0.25">
      <c r="A3" s="1">
        <v>45673</v>
      </c>
      <c r="B3" s="18" t="s">
        <v>54</v>
      </c>
      <c r="C3" s="18" t="s">
        <v>55</v>
      </c>
      <c r="D3" s="18" t="s">
        <v>45</v>
      </c>
      <c r="E3" s="18" t="s">
        <v>46</v>
      </c>
      <c r="F3">
        <v>48</v>
      </c>
      <c r="G3">
        <v>7.2</v>
      </c>
      <c r="H3">
        <v>345.6</v>
      </c>
      <c r="I3" s="18" t="s">
        <v>47</v>
      </c>
      <c r="J3" s="18" t="s">
        <v>56</v>
      </c>
      <c r="K3" s="18" t="s">
        <v>57</v>
      </c>
      <c r="L3" s="18" t="s">
        <v>58</v>
      </c>
      <c r="M3" s="1">
        <v>45922</v>
      </c>
      <c r="N3" s="18" t="s">
        <v>34</v>
      </c>
      <c r="O3" s="18" t="s">
        <v>51</v>
      </c>
      <c r="P3" s="18" t="s">
        <v>52</v>
      </c>
      <c r="Q3" s="18" t="s">
        <v>53</v>
      </c>
      <c r="R3" s="18"/>
      <c r="AH3"/>
    </row>
    <row r="4" spans="1:34" x14ac:dyDescent="0.25">
      <c r="A4" s="1">
        <v>45674</v>
      </c>
      <c r="B4" s="18" t="s">
        <v>59</v>
      </c>
      <c r="C4" s="18" t="s">
        <v>60</v>
      </c>
      <c r="D4" s="18" t="s">
        <v>45</v>
      </c>
      <c r="E4" s="18" t="s">
        <v>61</v>
      </c>
      <c r="F4">
        <v>288</v>
      </c>
      <c r="G4">
        <v>0.91347222222222213</v>
      </c>
      <c r="H4">
        <v>263.08</v>
      </c>
      <c r="I4" s="18" t="s">
        <v>62</v>
      </c>
      <c r="J4" s="18" t="s">
        <v>63</v>
      </c>
      <c r="K4" s="18" t="s">
        <v>64</v>
      </c>
      <c r="L4" s="18" t="s">
        <v>65</v>
      </c>
      <c r="M4" s="1">
        <v>46244</v>
      </c>
      <c r="N4" s="18" t="s">
        <v>34</v>
      </c>
      <c r="O4" s="18" t="s">
        <v>66</v>
      </c>
      <c r="P4" s="18" t="s">
        <v>67</v>
      </c>
      <c r="Q4" s="18" t="s">
        <v>53</v>
      </c>
      <c r="R4" s="18"/>
      <c r="AH4"/>
    </row>
    <row r="5" spans="1:34" x14ac:dyDescent="0.25">
      <c r="A5" s="1">
        <v>45678</v>
      </c>
      <c r="B5" s="18" t="s">
        <v>68</v>
      </c>
      <c r="C5" s="18" t="s">
        <v>69</v>
      </c>
      <c r="D5" s="18" t="s">
        <v>45</v>
      </c>
      <c r="E5" s="18" t="s">
        <v>46</v>
      </c>
      <c r="F5">
        <v>12</v>
      </c>
      <c r="G5">
        <v>0.91333333333333344</v>
      </c>
      <c r="H5">
        <v>10.96</v>
      </c>
      <c r="I5" s="18" t="s">
        <v>62</v>
      </c>
      <c r="J5" s="18" t="s">
        <v>70</v>
      </c>
      <c r="K5" s="18" t="s">
        <v>71</v>
      </c>
      <c r="L5" s="18" t="s">
        <v>72</v>
      </c>
      <c r="M5" s="1">
        <v>46355</v>
      </c>
      <c r="N5" s="18" t="s">
        <v>34</v>
      </c>
      <c r="O5" s="18" t="s">
        <v>51</v>
      </c>
      <c r="P5" s="18" t="s">
        <v>73</v>
      </c>
      <c r="Q5" s="18" t="s">
        <v>53</v>
      </c>
      <c r="R5" s="18"/>
      <c r="AH5"/>
    </row>
    <row r="6" spans="1:34" x14ac:dyDescent="0.25">
      <c r="A6" s="1">
        <v>45681</v>
      </c>
      <c r="B6" s="18" t="s">
        <v>74</v>
      </c>
      <c r="C6" s="18" t="s">
        <v>75</v>
      </c>
      <c r="D6" s="18" t="s">
        <v>45</v>
      </c>
      <c r="E6" s="18" t="s">
        <v>61</v>
      </c>
      <c r="F6">
        <v>72</v>
      </c>
      <c r="G6">
        <v>1.8245833333333334</v>
      </c>
      <c r="H6">
        <v>131.37</v>
      </c>
      <c r="I6" s="18" t="s">
        <v>76</v>
      </c>
      <c r="J6" s="18" t="s">
        <v>77</v>
      </c>
      <c r="K6" s="18" t="s">
        <v>78</v>
      </c>
      <c r="L6" s="18" t="s">
        <v>79</v>
      </c>
      <c r="M6" s="1">
        <v>45973</v>
      </c>
      <c r="N6" s="18" t="s">
        <v>34</v>
      </c>
      <c r="O6" s="18" t="s">
        <v>51</v>
      </c>
      <c r="P6" s="18" t="s">
        <v>67</v>
      </c>
      <c r="Q6" s="18" t="s">
        <v>53</v>
      </c>
      <c r="R6" s="18"/>
      <c r="AH6"/>
    </row>
    <row r="7" spans="1:34" x14ac:dyDescent="0.25">
      <c r="A7" s="1">
        <v>45682</v>
      </c>
      <c r="B7" s="18" t="s">
        <v>80</v>
      </c>
      <c r="C7" s="18" t="s">
        <v>81</v>
      </c>
      <c r="D7" s="18" t="s">
        <v>45</v>
      </c>
      <c r="E7" s="18" t="s">
        <v>46</v>
      </c>
      <c r="F7">
        <v>168</v>
      </c>
      <c r="G7">
        <v>7.8999999999999995</v>
      </c>
      <c r="H7">
        <v>1327.2</v>
      </c>
      <c r="I7" s="18" t="s">
        <v>47</v>
      </c>
      <c r="J7" s="18" t="s">
        <v>82</v>
      </c>
      <c r="K7" s="18" t="s">
        <v>83</v>
      </c>
      <c r="L7" s="18" t="s">
        <v>84</v>
      </c>
      <c r="M7" s="1">
        <v>46224</v>
      </c>
      <c r="N7" s="18" t="s">
        <v>34</v>
      </c>
      <c r="O7" s="18" t="s">
        <v>51</v>
      </c>
      <c r="P7" s="18" t="s">
        <v>73</v>
      </c>
      <c r="Q7" s="18" t="s">
        <v>53</v>
      </c>
      <c r="R7" s="18"/>
      <c r="AH7"/>
    </row>
    <row r="8" spans="1:34" x14ac:dyDescent="0.25">
      <c r="A8" s="1">
        <v>45683</v>
      </c>
      <c r="B8" s="18" t="s">
        <v>85</v>
      </c>
      <c r="C8" s="18" t="s">
        <v>86</v>
      </c>
      <c r="D8" s="18" t="s">
        <v>45</v>
      </c>
      <c r="E8" s="18" t="s">
        <v>87</v>
      </c>
      <c r="F8">
        <v>9360</v>
      </c>
      <c r="G8">
        <v>2.7368749999999999</v>
      </c>
      <c r="H8">
        <v>25617.15</v>
      </c>
      <c r="I8" s="18" t="s">
        <v>62</v>
      </c>
      <c r="J8" s="18" t="s">
        <v>88</v>
      </c>
      <c r="K8" s="18" t="s">
        <v>89</v>
      </c>
      <c r="L8" s="18" t="s">
        <v>90</v>
      </c>
      <c r="M8" s="1">
        <v>46147</v>
      </c>
      <c r="N8" s="18" t="s">
        <v>34</v>
      </c>
      <c r="O8" s="18" t="s">
        <v>66</v>
      </c>
      <c r="P8" s="18" t="s">
        <v>91</v>
      </c>
      <c r="Q8" s="18" t="s">
        <v>53</v>
      </c>
      <c r="R8" s="18"/>
      <c r="AH8"/>
    </row>
    <row r="9" spans="1:34" x14ac:dyDescent="0.25">
      <c r="A9" s="1">
        <v>45686</v>
      </c>
      <c r="B9" s="18" t="s">
        <v>92</v>
      </c>
      <c r="C9" s="18" t="s">
        <v>93</v>
      </c>
      <c r="D9" s="18" t="s">
        <v>45</v>
      </c>
      <c r="E9" s="18" t="s">
        <v>46</v>
      </c>
      <c r="F9">
        <v>240</v>
      </c>
      <c r="G9">
        <v>2.6625000000000001</v>
      </c>
      <c r="H9">
        <v>639</v>
      </c>
      <c r="I9" s="18" t="s">
        <v>76</v>
      </c>
      <c r="J9" s="18" t="s">
        <v>94</v>
      </c>
      <c r="K9" s="18" t="s">
        <v>95</v>
      </c>
      <c r="L9" s="18" t="s">
        <v>96</v>
      </c>
      <c r="M9" s="1">
        <v>46237</v>
      </c>
      <c r="N9" s="18" t="s">
        <v>34</v>
      </c>
      <c r="O9" s="18" t="s">
        <v>51</v>
      </c>
      <c r="P9" s="18" t="s">
        <v>97</v>
      </c>
      <c r="Q9" s="18" t="s">
        <v>53</v>
      </c>
      <c r="R9" s="18"/>
    </row>
    <row r="10" spans="1:34" x14ac:dyDescent="0.25">
      <c r="A10" s="1">
        <v>45687</v>
      </c>
      <c r="B10" s="18" t="s">
        <v>98</v>
      </c>
      <c r="C10" s="18" t="s">
        <v>99</v>
      </c>
      <c r="D10" s="18" t="s">
        <v>100</v>
      </c>
      <c r="E10" s="18" t="s">
        <v>101</v>
      </c>
      <c r="F10">
        <v>720</v>
      </c>
      <c r="G10">
        <v>0.46479166666666671</v>
      </c>
      <c r="H10">
        <v>334.65000000000003</v>
      </c>
      <c r="I10" s="18" t="s">
        <v>102</v>
      </c>
      <c r="J10" s="18" t="s">
        <v>103</v>
      </c>
      <c r="K10" s="18" t="s">
        <v>104</v>
      </c>
      <c r="L10" s="18" t="s">
        <v>105</v>
      </c>
      <c r="M10" s="1">
        <v>46215</v>
      </c>
      <c r="N10" s="18" t="s">
        <v>34</v>
      </c>
      <c r="O10" s="18" t="s">
        <v>51</v>
      </c>
      <c r="P10" s="18" t="s">
        <v>106</v>
      </c>
      <c r="Q10" s="18" t="s">
        <v>53</v>
      </c>
      <c r="R10" s="18"/>
    </row>
    <row r="11" spans="1:34" x14ac:dyDescent="0.25">
      <c r="A11" s="1">
        <v>45699</v>
      </c>
      <c r="B11" s="18" t="s">
        <v>107</v>
      </c>
      <c r="C11" s="18" t="s">
        <v>108</v>
      </c>
      <c r="D11" s="18" t="s">
        <v>100</v>
      </c>
      <c r="E11" s="18" t="s">
        <v>109</v>
      </c>
      <c r="F11">
        <v>108</v>
      </c>
      <c r="G11">
        <v>0.46500000000000002</v>
      </c>
      <c r="H11">
        <v>50.22</v>
      </c>
      <c r="I11" s="18" t="s">
        <v>102</v>
      </c>
      <c r="J11" s="18" t="s">
        <v>110</v>
      </c>
      <c r="K11" s="18" t="s">
        <v>111</v>
      </c>
      <c r="L11" s="18" t="s">
        <v>112</v>
      </c>
      <c r="M11" s="1">
        <v>46422</v>
      </c>
      <c r="N11" s="18" t="s">
        <v>34</v>
      </c>
      <c r="O11" s="18" t="s">
        <v>66</v>
      </c>
      <c r="P11" s="18" t="s">
        <v>113</v>
      </c>
      <c r="Q11" s="18" t="s">
        <v>53</v>
      </c>
      <c r="R11" s="18"/>
    </row>
    <row r="12" spans="1:34" x14ac:dyDescent="0.25">
      <c r="A12" s="1">
        <v>45703</v>
      </c>
      <c r="B12" s="18" t="s">
        <v>114</v>
      </c>
      <c r="C12" s="18" t="s">
        <v>115</v>
      </c>
      <c r="D12" s="18" t="s">
        <v>100</v>
      </c>
      <c r="E12" s="18" t="s">
        <v>101</v>
      </c>
      <c r="F12">
        <v>1224</v>
      </c>
      <c r="G12">
        <v>0.92958333333333343</v>
      </c>
      <c r="H12">
        <v>1137.8100000000002</v>
      </c>
      <c r="I12" s="18" t="s">
        <v>102</v>
      </c>
      <c r="J12" s="18" t="s">
        <v>116</v>
      </c>
      <c r="K12" s="18" t="s">
        <v>117</v>
      </c>
      <c r="L12" s="18" t="s">
        <v>118</v>
      </c>
      <c r="M12" s="1">
        <v>45991</v>
      </c>
      <c r="N12" s="18" t="s">
        <v>34</v>
      </c>
      <c r="O12" s="18" t="s">
        <v>66</v>
      </c>
      <c r="P12" s="18" t="s">
        <v>119</v>
      </c>
      <c r="Q12" s="18" t="s">
        <v>53</v>
      </c>
      <c r="R12" s="18"/>
    </row>
    <row r="13" spans="1:34" x14ac:dyDescent="0.25">
      <c r="A13" s="1">
        <v>45706</v>
      </c>
      <c r="B13" s="18" t="s">
        <v>120</v>
      </c>
      <c r="C13" s="18" t="s">
        <v>121</v>
      </c>
      <c r="D13" s="18" t="s">
        <v>100</v>
      </c>
      <c r="E13" s="18" t="s">
        <v>122</v>
      </c>
      <c r="F13">
        <v>1650</v>
      </c>
      <c r="G13">
        <v>0.93</v>
      </c>
      <c r="H13">
        <v>1534.5</v>
      </c>
      <c r="I13" s="18" t="s">
        <v>102</v>
      </c>
      <c r="J13" s="18" t="s">
        <v>123</v>
      </c>
      <c r="K13" s="18" t="s">
        <v>124</v>
      </c>
      <c r="L13" s="18" t="s">
        <v>125</v>
      </c>
      <c r="M13" s="1">
        <v>46345</v>
      </c>
      <c r="N13" s="18" t="s">
        <v>34</v>
      </c>
      <c r="O13" s="18" t="s">
        <v>66</v>
      </c>
      <c r="P13" s="18" t="s">
        <v>126</v>
      </c>
      <c r="Q13" s="18" t="s">
        <v>53</v>
      </c>
      <c r="R13" s="18"/>
    </row>
    <row r="14" spans="1:34" x14ac:dyDescent="0.25">
      <c r="A14" s="1">
        <v>45707</v>
      </c>
      <c r="B14" s="18" t="s">
        <v>127</v>
      </c>
      <c r="C14" s="18" t="s">
        <v>128</v>
      </c>
      <c r="D14" s="18" t="s">
        <v>100</v>
      </c>
      <c r="E14" s="18" t="s">
        <v>129</v>
      </c>
      <c r="F14">
        <v>48</v>
      </c>
      <c r="G14">
        <v>2</v>
      </c>
      <c r="H14">
        <v>96</v>
      </c>
      <c r="I14" s="18" t="s">
        <v>102</v>
      </c>
      <c r="J14" s="18" t="s">
        <v>130</v>
      </c>
      <c r="K14" s="18" t="s">
        <v>131</v>
      </c>
      <c r="L14" s="18" t="s">
        <v>132</v>
      </c>
      <c r="M14" s="1">
        <v>45933</v>
      </c>
      <c r="N14" s="18" t="s">
        <v>34</v>
      </c>
      <c r="O14" s="18" t="s">
        <v>66</v>
      </c>
      <c r="P14" s="18" t="s">
        <v>133</v>
      </c>
      <c r="Q14" s="18" t="s">
        <v>53</v>
      </c>
      <c r="R14" s="18"/>
    </row>
    <row r="15" spans="1:34" x14ac:dyDescent="0.25">
      <c r="A15" s="1">
        <v>45712</v>
      </c>
      <c r="B15" s="18" t="s">
        <v>134</v>
      </c>
      <c r="C15" s="18" t="s">
        <v>135</v>
      </c>
      <c r="D15" s="18" t="s">
        <v>136</v>
      </c>
      <c r="E15" s="18" t="s">
        <v>137</v>
      </c>
      <c r="F15">
        <v>3504</v>
      </c>
      <c r="G15">
        <v>1.3943750000000001</v>
      </c>
      <c r="H15">
        <v>4885.8900000000003</v>
      </c>
      <c r="I15" s="18" t="s">
        <v>138</v>
      </c>
      <c r="J15" s="18" t="s">
        <v>139</v>
      </c>
      <c r="K15" s="18" t="s">
        <v>140</v>
      </c>
      <c r="L15" s="18" t="s">
        <v>141</v>
      </c>
      <c r="M15" s="1">
        <v>46214</v>
      </c>
      <c r="N15" s="18" t="s">
        <v>34</v>
      </c>
      <c r="O15" s="18" t="s">
        <v>51</v>
      </c>
      <c r="P15" s="18" t="s">
        <v>142</v>
      </c>
      <c r="Q15" s="18" t="s">
        <v>53</v>
      </c>
      <c r="R15" s="18"/>
    </row>
    <row r="16" spans="1:34" x14ac:dyDescent="0.25">
      <c r="A16" s="1">
        <v>45714</v>
      </c>
      <c r="B16" s="18" t="s">
        <v>143</v>
      </c>
      <c r="C16" s="18" t="s">
        <v>144</v>
      </c>
      <c r="D16" s="18" t="s">
        <v>136</v>
      </c>
      <c r="E16" s="18" t="s">
        <v>137</v>
      </c>
      <c r="F16">
        <v>12</v>
      </c>
      <c r="G16">
        <v>1.395</v>
      </c>
      <c r="H16">
        <v>16.740000000000002</v>
      </c>
      <c r="I16" s="18" t="s">
        <v>138</v>
      </c>
      <c r="J16" s="18" t="s">
        <v>145</v>
      </c>
      <c r="K16" s="18" t="s">
        <v>146</v>
      </c>
      <c r="L16" s="18" t="s">
        <v>147</v>
      </c>
      <c r="M16" s="1">
        <v>46415</v>
      </c>
      <c r="N16" s="18" t="s">
        <v>34</v>
      </c>
      <c r="O16" s="18" t="s">
        <v>51</v>
      </c>
      <c r="P16" s="18" t="s">
        <v>148</v>
      </c>
      <c r="Q16" s="18" t="s">
        <v>53</v>
      </c>
      <c r="R16" s="18"/>
    </row>
    <row r="17" spans="1:18" x14ac:dyDescent="0.25">
      <c r="A17" s="1">
        <v>45714</v>
      </c>
      <c r="B17" s="18" t="s">
        <v>149</v>
      </c>
      <c r="C17" s="18" t="s">
        <v>150</v>
      </c>
      <c r="D17" s="18" t="s">
        <v>136</v>
      </c>
      <c r="E17" s="18" t="s">
        <v>137</v>
      </c>
      <c r="F17">
        <v>33</v>
      </c>
      <c r="G17">
        <v>1.4100000000000001</v>
      </c>
      <c r="H17">
        <v>46.53</v>
      </c>
      <c r="I17" s="18" t="s">
        <v>138</v>
      </c>
      <c r="J17" s="18" t="s">
        <v>151</v>
      </c>
      <c r="K17" s="18" t="s">
        <v>152</v>
      </c>
      <c r="L17" s="18" t="s">
        <v>153</v>
      </c>
      <c r="M17" s="1">
        <v>45966</v>
      </c>
      <c r="N17" s="18" t="s">
        <v>34</v>
      </c>
      <c r="O17" s="18" t="s">
        <v>66</v>
      </c>
      <c r="P17" s="18" t="s">
        <v>154</v>
      </c>
      <c r="Q17" s="18" t="s">
        <v>53</v>
      </c>
      <c r="R17" s="18"/>
    </row>
    <row r="18" spans="1:18" x14ac:dyDescent="0.25">
      <c r="A18" s="1">
        <v>45715</v>
      </c>
      <c r="B18" s="18" t="s">
        <v>155</v>
      </c>
      <c r="C18" s="18" t="s">
        <v>156</v>
      </c>
      <c r="D18" s="18" t="s">
        <v>136</v>
      </c>
      <c r="E18" s="18" t="s">
        <v>157</v>
      </c>
      <c r="F18">
        <v>561</v>
      </c>
      <c r="G18">
        <v>1.6154545454545455</v>
      </c>
      <c r="H18">
        <v>906.27</v>
      </c>
      <c r="I18" s="18" t="s">
        <v>158</v>
      </c>
      <c r="J18" s="18" t="s">
        <v>159</v>
      </c>
      <c r="K18" s="18" t="s">
        <v>160</v>
      </c>
      <c r="L18" s="18" t="s">
        <v>161</v>
      </c>
      <c r="M18" s="1">
        <v>46241</v>
      </c>
      <c r="N18" s="18" t="s">
        <v>34</v>
      </c>
      <c r="O18" s="18" t="s">
        <v>66</v>
      </c>
      <c r="P18" s="18" t="s">
        <v>154</v>
      </c>
      <c r="Q18" s="18" t="s">
        <v>53</v>
      </c>
      <c r="R18" s="18"/>
    </row>
    <row r="19" spans="1:18" x14ac:dyDescent="0.25">
      <c r="A19" s="1">
        <v>45716</v>
      </c>
      <c r="B19" s="18" t="s">
        <v>162</v>
      </c>
      <c r="C19" s="18" t="s">
        <v>163</v>
      </c>
      <c r="D19" s="18" t="s">
        <v>136</v>
      </c>
      <c r="E19" s="18" t="s">
        <v>164</v>
      </c>
      <c r="F19">
        <v>9000</v>
      </c>
      <c r="G19">
        <v>1.8146666666666665E-2</v>
      </c>
      <c r="H19">
        <v>163.32</v>
      </c>
      <c r="I19" s="18" t="s">
        <v>138</v>
      </c>
      <c r="J19" s="18" t="s">
        <v>165</v>
      </c>
      <c r="K19" s="18" t="s">
        <v>166</v>
      </c>
      <c r="L19" s="18" t="s">
        <v>167</v>
      </c>
      <c r="M19" s="1">
        <v>45977</v>
      </c>
      <c r="N19" s="18" t="s">
        <v>34</v>
      </c>
      <c r="O19" s="18" t="s">
        <v>51</v>
      </c>
      <c r="P19" s="18" t="s">
        <v>168</v>
      </c>
      <c r="Q19" s="18" t="s">
        <v>53</v>
      </c>
      <c r="R19" s="18"/>
    </row>
    <row r="20" spans="1:18" x14ac:dyDescent="0.25">
      <c r="A20" s="1">
        <v>45719</v>
      </c>
      <c r="B20" s="18" t="s">
        <v>169</v>
      </c>
      <c r="C20" s="18" t="s">
        <v>170</v>
      </c>
      <c r="D20" s="18" t="s">
        <v>136</v>
      </c>
      <c r="E20" s="18" t="s">
        <v>164</v>
      </c>
      <c r="F20">
        <v>6000</v>
      </c>
      <c r="G20">
        <v>1.5100000000000001E-2</v>
      </c>
      <c r="H20">
        <v>90.6</v>
      </c>
      <c r="I20" s="18" t="s">
        <v>138</v>
      </c>
      <c r="J20" s="18" t="s">
        <v>171</v>
      </c>
      <c r="K20" s="18" t="s">
        <v>172</v>
      </c>
      <c r="L20" s="18" t="s">
        <v>173</v>
      </c>
      <c r="M20" s="1">
        <v>46145</v>
      </c>
      <c r="N20" s="18" t="s">
        <v>34</v>
      </c>
      <c r="O20" s="18" t="s">
        <v>66</v>
      </c>
      <c r="P20" s="18" t="s">
        <v>174</v>
      </c>
      <c r="Q20" s="18" t="s">
        <v>53</v>
      </c>
      <c r="R20" s="18"/>
    </row>
    <row r="21" spans="1:18" x14ac:dyDescent="0.25">
      <c r="A21" s="1">
        <v>45720</v>
      </c>
      <c r="B21" s="18" t="s">
        <v>175</v>
      </c>
      <c r="C21" s="18" t="s">
        <v>176</v>
      </c>
      <c r="D21" s="18" t="s">
        <v>136</v>
      </c>
      <c r="E21" s="18" t="s">
        <v>164</v>
      </c>
      <c r="F21">
        <v>4</v>
      </c>
      <c r="G21">
        <v>1.4999999999999999E-2</v>
      </c>
      <c r="H21">
        <v>0.06</v>
      </c>
      <c r="I21" s="18" t="s">
        <v>138</v>
      </c>
      <c r="J21" s="18" t="s">
        <v>177</v>
      </c>
      <c r="K21" s="18" t="s">
        <v>178</v>
      </c>
      <c r="L21" s="18" t="s">
        <v>179</v>
      </c>
      <c r="M21" s="1">
        <v>46373</v>
      </c>
      <c r="N21" s="18" t="s">
        <v>34</v>
      </c>
      <c r="O21" s="18" t="s">
        <v>66</v>
      </c>
      <c r="P21" s="18" t="s">
        <v>180</v>
      </c>
      <c r="Q21" s="18" t="s">
        <v>53</v>
      </c>
      <c r="R21" s="18"/>
    </row>
    <row r="22" spans="1:18" x14ac:dyDescent="0.25">
      <c r="A22" s="1">
        <v>45721</v>
      </c>
      <c r="B22" s="18" t="s">
        <v>181</v>
      </c>
      <c r="C22" s="18" t="s">
        <v>182</v>
      </c>
      <c r="D22" s="18" t="s">
        <v>136</v>
      </c>
      <c r="E22" s="18" t="s">
        <v>183</v>
      </c>
      <c r="F22">
        <v>28800</v>
      </c>
      <c r="G22">
        <v>5.0450000000000002E-2</v>
      </c>
      <c r="H22">
        <v>1452.96</v>
      </c>
      <c r="I22" s="18" t="s">
        <v>138</v>
      </c>
      <c r="J22" s="18" t="s">
        <v>184</v>
      </c>
      <c r="K22" s="18" t="s">
        <v>185</v>
      </c>
      <c r="L22" s="18" t="s">
        <v>186</v>
      </c>
      <c r="M22" s="1">
        <v>46170</v>
      </c>
      <c r="N22" s="18" t="s">
        <v>34</v>
      </c>
      <c r="O22" s="18" t="s">
        <v>51</v>
      </c>
      <c r="P22" s="18" t="s">
        <v>187</v>
      </c>
      <c r="Q22" s="18" t="s">
        <v>53</v>
      </c>
      <c r="R22" s="18"/>
    </row>
    <row r="23" spans="1:18" x14ac:dyDescent="0.25">
      <c r="A23" s="1">
        <v>45727</v>
      </c>
      <c r="B23" s="18" t="s">
        <v>188</v>
      </c>
      <c r="C23" s="18" t="s">
        <v>189</v>
      </c>
      <c r="D23" s="18" t="s">
        <v>136</v>
      </c>
      <c r="E23" s="18" t="s">
        <v>190</v>
      </c>
      <c r="F23">
        <v>150</v>
      </c>
      <c r="G23">
        <v>4.2000000000000003E-2</v>
      </c>
      <c r="H23">
        <v>6.3000000000000007</v>
      </c>
      <c r="I23" s="18" t="s">
        <v>191</v>
      </c>
      <c r="J23" s="18" t="s">
        <v>192</v>
      </c>
      <c r="K23" s="18" t="s">
        <v>193</v>
      </c>
      <c r="L23" s="18" t="s">
        <v>194</v>
      </c>
      <c r="M23" s="1">
        <v>46131</v>
      </c>
      <c r="N23" s="18" t="s">
        <v>34</v>
      </c>
      <c r="O23" s="18" t="s">
        <v>51</v>
      </c>
      <c r="P23" s="18" t="s">
        <v>195</v>
      </c>
      <c r="Q23" s="18" t="s">
        <v>53</v>
      </c>
      <c r="R23" s="18"/>
    </row>
    <row r="24" spans="1:18" x14ac:dyDescent="0.25">
      <c r="A24" s="1">
        <v>45729</v>
      </c>
      <c r="B24" s="18" t="s">
        <v>196</v>
      </c>
      <c r="C24" s="18" t="s">
        <v>197</v>
      </c>
      <c r="D24" s="18" t="s">
        <v>198</v>
      </c>
      <c r="E24" s="18" t="s">
        <v>199</v>
      </c>
      <c r="F24">
        <v>344</v>
      </c>
      <c r="G24">
        <v>0.105</v>
      </c>
      <c r="H24">
        <v>36.119999999999997</v>
      </c>
      <c r="I24" s="18" t="s">
        <v>200</v>
      </c>
      <c r="J24" s="18" t="s">
        <v>201</v>
      </c>
      <c r="K24" s="18" t="s">
        <v>202</v>
      </c>
      <c r="L24" s="18" t="s">
        <v>203</v>
      </c>
      <c r="M24" s="1">
        <v>46406</v>
      </c>
      <c r="N24" s="18" t="s">
        <v>34</v>
      </c>
      <c r="O24" s="18" t="s">
        <v>51</v>
      </c>
      <c r="P24" s="18" t="s">
        <v>204</v>
      </c>
      <c r="Q24" s="18" t="s">
        <v>53</v>
      </c>
      <c r="R24" s="18"/>
    </row>
    <row r="25" spans="1:18" x14ac:dyDescent="0.25">
      <c r="A25" s="1">
        <v>45733</v>
      </c>
      <c r="B25" s="18" t="s">
        <v>205</v>
      </c>
      <c r="C25" s="18" t="s">
        <v>206</v>
      </c>
      <c r="D25" s="18" t="s">
        <v>198</v>
      </c>
      <c r="E25" s="18" t="s">
        <v>207</v>
      </c>
      <c r="F25">
        <v>2100</v>
      </c>
      <c r="G25">
        <v>0.45840000000000003</v>
      </c>
      <c r="H25">
        <v>962.6400000000001</v>
      </c>
      <c r="I25" s="18" t="s">
        <v>208</v>
      </c>
      <c r="J25" s="18" t="s">
        <v>209</v>
      </c>
      <c r="K25" s="18" t="s">
        <v>210</v>
      </c>
      <c r="L25" s="18" t="s">
        <v>211</v>
      </c>
      <c r="M25" s="1">
        <v>46074</v>
      </c>
      <c r="N25" s="18" t="s">
        <v>34</v>
      </c>
      <c r="O25" s="18" t="s">
        <v>66</v>
      </c>
      <c r="P25" s="18" t="s">
        <v>212</v>
      </c>
      <c r="Q25" s="18" t="s">
        <v>53</v>
      </c>
      <c r="R25" s="18"/>
    </row>
    <row r="26" spans="1:18" x14ac:dyDescent="0.25">
      <c r="A26" s="1">
        <v>45734</v>
      </c>
      <c r="B26" s="18" t="s">
        <v>213</v>
      </c>
      <c r="C26" s="18" t="s">
        <v>214</v>
      </c>
      <c r="D26" s="18" t="s">
        <v>198</v>
      </c>
      <c r="E26" s="18" t="s">
        <v>207</v>
      </c>
      <c r="F26">
        <v>60</v>
      </c>
      <c r="G26">
        <v>0.5</v>
      </c>
      <c r="H26">
        <v>30</v>
      </c>
      <c r="I26" s="18" t="s">
        <v>208</v>
      </c>
      <c r="J26" s="18" t="s">
        <v>215</v>
      </c>
      <c r="K26" s="18" t="s">
        <v>216</v>
      </c>
      <c r="L26" s="18" t="s">
        <v>217</v>
      </c>
      <c r="M26" s="1">
        <v>46070</v>
      </c>
      <c r="N26" s="18" t="s">
        <v>34</v>
      </c>
      <c r="O26" s="18" t="s">
        <v>66</v>
      </c>
      <c r="P26" s="18" t="s">
        <v>218</v>
      </c>
      <c r="Q26" s="18" t="s">
        <v>53</v>
      </c>
      <c r="R26" s="18"/>
    </row>
    <row r="27" spans="1:18" x14ac:dyDescent="0.25">
      <c r="A27" s="1">
        <v>45738</v>
      </c>
      <c r="B27" s="18" t="s">
        <v>219</v>
      </c>
      <c r="C27" s="18" t="s">
        <v>220</v>
      </c>
      <c r="D27" s="18" t="s">
        <v>198</v>
      </c>
      <c r="E27" s="18" t="s">
        <v>221</v>
      </c>
      <c r="F27">
        <v>31200</v>
      </c>
      <c r="G27">
        <v>2.9825000000000001E-2</v>
      </c>
      <c r="H27">
        <v>930.54</v>
      </c>
      <c r="I27" s="18" t="s">
        <v>208</v>
      </c>
      <c r="J27" s="18" t="s">
        <v>222</v>
      </c>
      <c r="K27" s="18" t="s">
        <v>223</v>
      </c>
      <c r="L27" s="18" t="s">
        <v>224</v>
      </c>
      <c r="M27" s="1">
        <v>46192</v>
      </c>
      <c r="N27" s="18" t="s">
        <v>34</v>
      </c>
      <c r="O27" s="18" t="s">
        <v>66</v>
      </c>
      <c r="P27" s="18" t="s">
        <v>225</v>
      </c>
      <c r="Q27" s="18" t="s">
        <v>53</v>
      </c>
      <c r="R27" s="18"/>
    </row>
    <row r="28" spans="1:18" x14ac:dyDescent="0.25">
      <c r="A28" s="1">
        <v>45741</v>
      </c>
      <c r="B28" s="18" t="s">
        <v>226</v>
      </c>
      <c r="C28" s="18" t="s">
        <v>227</v>
      </c>
      <c r="D28" s="18" t="s">
        <v>198</v>
      </c>
      <c r="E28" s="18" t="s">
        <v>221</v>
      </c>
      <c r="F28">
        <v>1200</v>
      </c>
      <c r="G28">
        <v>0.102025</v>
      </c>
      <c r="H28">
        <v>122.43</v>
      </c>
      <c r="I28" s="18" t="s">
        <v>200</v>
      </c>
      <c r="J28" s="18" t="s">
        <v>228</v>
      </c>
      <c r="K28" s="18" t="s">
        <v>229</v>
      </c>
      <c r="L28" s="18" t="s">
        <v>230</v>
      </c>
      <c r="M28" s="1">
        <v>46155</v>
      </c>
      <c r="N28" s="18" t="s">
        <v>34</v>
      </c>
      <c r="O28" s="18" t="s">
        <v>51</v>
      </c>
      <c r="P28" s="18" t="s">
        <v>225</v>
      </c>
      <c r="Q28" s="18" t="s">
        <v>53</v>
      </c>
      <c r="R28" s="18"/>
    </row>
    <row r="29" spans="1:18" x14ac:dyDescent="0.25">
      <c r="A29" s="1">
        <v>45742</v>
      </c>
      <c r="B29" s="18" t="s">
        <v>231</v>
      </c>
      <c r="C29" s="18" t="s">
        <v>232</v>
      </c>
      <c r="D29" s="18" t="s">
        <v>198</v>
      </c>
      <c r="E29" s="18" t="s">
        <v>136</v>
      </c>
      <c r="F29">
        <v>250</v>
      </c>
      <c r="G29">
        <v>0.1084</v>
      </c>
      <c r="H29">
        <v>27.1</v>
      </c>
      <c r="I29" s="18" t="s">
        <v>233</v>
      </c>
      <c r="J29" s="18" t="s">
        <v>234</v>
      </c>
      <c r="K29" s="18" t="s">
        <v>235</v>
      </c>
      <c r="L29" s="18" t="s">
        <v>236</v>
      </c>
      <c r="M29" s="1">
        <v>46448</v>
      </c>
      <c r="N29" s="18" t="s">
        <v>34</v>
      </c>
      <c r="O29" s="18" t="s">
        <v>51</v>
      </c>
      <c r="P29" s="18" t="s">
        <v>237</v>
      </c>
      <c r="Q29" s="18" t="s">
        <v>53</v>
      </c>
      <c r="R29" s="18"/>
    </row>
    <row r="30" spans="1:18" x14ac:dyDescent="0.25">
      <c r="A30" s="1">
        <v>45744</v>
      </c>
      <c r="B30" s="18" t="s">
        <v>238</v>
      </c>
      <c r="C30" s="18" t="s">
        <v>239</v>
      </c>
      <c r="D30" s="18" t="s">
        <v>198</v>
      </c>
      <c r="E30" s="18" t="s">
        <v>240</v>
      </c>
      <c r="F30">
        <v>100</v>
      </c>
      <c r="G30">
        <v>0.1002</v>
      </c>
      <c r="H30">
        <v>10.02</v>
      </c>
      <c r="I30" s="18" t="s">
        <v>200</v>
      </c>
      <c r="J30" s="18" t="s">
        <v>241</v>
      </c>
      <c r="K30" s="18" t="s">
        <v>242</v>
      </c>
      <c r="L30" s="18" t="s">
        <v>243</v>
      </c>
      <c r="M30" s="1">
        <v>46178</v>
      </c>
      <c r="N30" s="18" t="s">
        <v>34</v>
      </c>
      <c r="O30" s="18" t="s">
        <v>51</v>
      </c>
      <c r="P30" s="18" t="s">
        <v>244</v>
      </c>
      <c r="Q30" s="18" t="s">
        <v>53</v>
      </c>
      <c r="R30" s="18"/>
    </row>
    <row r="31" spans="1:18" x14ac:dyDescent="0.25">
      <c r="A31" s="1">
        <v>45748</v>
      </c>
      <c r="B31" s="18" t="s">
        <v>245</v>
      </c>
      <c r="C31" s="18" t="s">
        <v>246</v>
      </c>
      <c r="D31" s="18" t="s">
        <v>247</v>
      </c>
      <c r="E31" s="18" t="s">
        <v>248</v>
      </c>
      <c r="F31">
        <v>9600</v>
      </c>
      <c r="G31">
        <v>3.0329166666666671E-2</v>
      </c>
      <c r="H31">
        <v>291.16000000000003</v>
      </c>
      <c r="I31" s="18" t="s">
        <v>138</v>
      </c>
      <c r="J31" s="18" t="s">
        <v>249</v>
      </c>
      <c r="K31" s="18" t="s">
        <v>250</v>
      </c>
      <c r="L31" s="18" t="s">
        <v>251</v>
      </c>
      <c r="M31" s="1">
        <v>46201</v>
      </c>
      <c r="N31" s="18" t="s">
        <v>34</v>
      </c>
      <c r="O31" s="18" t="s">
        <v>66</v>
      </c>
      <c r="P31" s="18" t="s">
        <v>252</v>
      </c>
      <c r="Q31" s="18" t="s">
        <v>53</v>
      </c>
      <c r="R31" s="18"/>
    </row>
    <row r="32" spans="1:18" x14ac:dyDescent="0.25">
      <c r="A32" s="1">
        <v>45760</v>
      </c>
      <c r="B32" s="18" t="s">
        <v>253</v>
      </c>
      <c r="C32" s="18" t="s">
        <v>254</v>
      </c>
      <c r="D32" s="18" t="s">
        <v>247</v>
      </c>
      <c r="E32" s="18" t="s">
        <v>255</v>
      </c>
      <c r="F32">
        <v>68800</v>
      </c>
      <c r="G32">
        <v>3.0299999999999997E-2</v>
      </c>
      <c r="H32">
        <v>2084.64</v>
      </c>
      <c r="I32" s="18" t="s">
        <v>76</v>
      </c>
      <c r="J32" s="18" t="s">
        <v>256</v>
      </c>
      <c r="K32" s="18" t="s">
        <v>257</v>
      </c>
      <c r="L32" s="18" t="s">
        <v>258</v>
      </c>
      <c r="M32" s="1">
        <v>46322</v>
      </c>
      <c r="N32" s="18" t="s">
        <v>34</v>
      </c>
      <c r="O32" s="18" t="s">
        <v>66</v>
      </c>
      <c r="P32" s="18" t="s">
        <v>174</v>
      </c>
      <c r="Q32" s="18" t="s">
        <v>53</v>
      </c>
      <c r="R32" s="18"/>
    </row>
    <row r="33" spans="1:18" x14ac:dyDescent="0.25">
      <c r="A33" s="1">
        <v>45763</v>
      </c>
      <c r="B33" s="18" t="s">
        <v>259</v>
      </c>
      <c r="C33" s="18" t="s">
        <v>260</v>
      </c>
      <c r="D33" s="18" t="s">
        <v>247</v>
      </c>
      <c r="E33" s="18" t="s">
        <v>261</v>
      </c>
      <c r="F33">
        <v>2400</v>
      </c>
      <c r="G33">
        <v>2.0899999999999998E-2</v>
      </c>
      <c r="H33">
        <v>50.16</v>
      </c>
      <c r="I33" s="18" t="s">
        <v>208</v>
      </c>
      <c r="J33" s="18" t="s">
        <v>262</v>
      </c>
      <c r="K33" s="18" t="s">
        <v>263</v>
      </c>
      <c r="L33" s="18" t="s">
        <v>264</v>
      </c>
      <c r="M33" s="1">
        <v>45998</v>
      </c>
      <c r="N33" s="18" t="s">
        <v>34</v>
      </c>
      <c r="O33" s="18" t="s">
        <v>66</v>
      </c>
      <c r="P33" s="18" t="s">
        <v>225</v>
      </c>
      <c r="Q33" s="18" t="s">
        <v>53</v>
      </c>
      <c r="R33" s="18"/>
    </row>
    <row r="34" spans="1:18" x14ac:dyDescent="0.25">
      <c r="A34" s="1">
        <v>45766</v>
      </c>
      <c r="B34" s="18" t="s">
        <v>265</v>
      </c>
      <c r="C34" s="18" t="s">
        <v>266</v>
      </c>
      <c r="D34" s="18" t="s">
        <v>247</v>
      </c>
      <c r="E34" s="18" t="s">
        <v>261</v>
      </c>
      <c r="F34">
        <v>600</v>
      </c>
      <c r="G34">
        <v>2.0899999999999998E-2</v>
      </c>
      <c r="H34">
        <v>12.54</v>
      </c>
      <c r="I34" s="18" t="s">
        <v>208</v>
      </c>
      <c r="J34" s="18" t="s">
        <v>267</v>
      </c>
      <c r="K34" s="18" t="s">
        <v>268</v>
      </c>
      <c r="L34" s="18" t="s">
        <v>269</v>
      </c>
      <c r="M34" s="1">
        <v>46231</v>
      </c>
      <c r="N34" s="18" t="s">
        <v>34</v>
      </c>
      <c r="O34" s="18" t="s">
        <v>51</v>
      </c>
      <c r="P34" s="18" t="s">
        <v>174</v>
      </c>
      <c r="Q34" s="18" t="s">
        <v>53</v>
      </c>
      <c r="R34" s="18"/>
    </row>
    <row r="35" spans="1:18" x14ac:dyDescent="0.25">
      <c r="A35" s="1">
        <v>45767</v>
      </c>
      <c r="B35" s="18" t="s">
        <v>270</v>
      </c>
      <c r="C35" s="18" t="s">
        <v>271</v>
      </c>
      <c r="D35" s="18" t="s">
        <v>247</v>
      </c>
      <c r="E35" s="18" t="s">
        <v>272</v>
      </c>
      <c r="F35">
        <v>3600</v>
      </c>
      <c r="G35">
        <v>2.0758333333333333E-2</v>
      </c>
      <c r="H35">
        <v>74.73</v>
      </c>
      <c r="I35" s="18" t="s">
        <v>208</v>
      </c>
      <c r="J35" s="18" t="s">
        <v>273</v>
      </c>
      <c r="K35" s="18" t="s">
        <v>274</v>
      </c>
      <c r="L35" s="18" t="s">
        <v>275</v>
      </c>
      <c r="M35" s="1">
        <v>46355</v>
      </c>
      <c r="N35" s="18" t="s">
        <v>34</v>
      </c>
      <c r="O35" s="18" t="s">
        <v>51</v>
      </c>
      <c r="P35" s="18" t="s">
        <v>276</v>
      </c>
      <c r="Q35" s="18" t="s">
        <v>53</v>
      </c>
      <c r="R35" s="18"/>
    </row>
    <row r="36" spans="1:18" x14ac:dyDescent="0.25">
      <c r="A36" s="1">
        <v>45775</v>
      </c>
      <c r="B36" s="18" t="s">
        <v>277</v>
      </c>
      <c r="C36" s="18" t="s">
        <v>278</v>
      </c>
      <c r="D36" s="18" t="s">
        <v>247</v>
      </c>
      <c r="E36" s="18" t="s">
        <v>272</v>
      </c>
      <c r="F36">
        <v>3000</v>
      </c>
      <c r="G36">
        <v>2.7100000000000003E-2</v>
      </c>
      <c r="H36">
        <v>81.300000000000011</v>
      </c>
      <c r="I36" s="18" t="s">
        <v>208</v>
      </c>
      <c r="J36" s="18" t="s">
        <v>279</v>
      </c>
      <c r="K36" s="18" t="s">
        <v>280</v>
      </c>
      <c r="L36" s="18" t="s">
        <v>281</v>
      </c>
      <c r="M36" s="1">
        <v>46226</v>
      </c>
      <c r="N36" s="18" t="s">
        <v>34</v>
      </c>
      <c r="O36" s="18" t="s">
        <v>51</v>
      </c>
      <c r="P36" s="18" t="s">
        <v>282</v>
      </c>
      <c r="Q36" s="18" t="s">
        <v>53</v>
      </c>
      <c r="R36" s="18"/>
    </row>
    <row r="37" spans="1:18" x14ac:dyDescent="0.25">
      <c r="A37" s="1">
        <v>45777</v>
      </c>
      <c r="B37" s="18" t="s">
        <v>283</v>
      </c>
      <c r="C37" s="18" t="s">
        <v>284</v>
      </c>
      <c r="D37" s="18" t="s">
        <v>247</v>
      </c>
      <c r="E37" s="18" t="s">
        <v>261</v>
      </c>
      <c r="F37">
        <v>300</v>
      </c>
      <c r="G37">
        <v>3.2500000000000001E-2</v>
      </c>
      <c r="H37">
        <v>9.75</v>
      </c>
      <c r="I37" s="18" t="s">
        <v>208</v>
      </c>
      <c r="J37" s="18" t="s">
        <v>285</v>
      </c>
      <c r="K37" s="18" t="s">
        <v>286</v>
      </c>
      <c r="L37" s="18" t="s">
        <v>287</v>
      </c>
      <c r="M37" s="1">
        <v>45968</v>
      </c>
      <c r="N37" s="18" t="s">
        <v>34</v>
      </c>
      <c r="O37" s="18" t="s">
        <v>66</v>
      </c>
      <c r="P37" s="18" t="s">
        <v>174</v>
      </c>
      <c r="Q37" s="18" t="s">
        <v>53</v>
      </c>
      <c r="R37" s="18"/>
    </row>
    <row r="38" spans="1:18" x14ac:dyDescent="0.25">
      <c r="A38" s="1">
        <v>45779</v>
      </c>
      <c r="B38" s="18" t="s">
        <v>288</v>
      </c>
      <c r="C38" s="18" t="s">
        <v>289</v>
      </c>
      <c r="D38" s="18" t="s">
        <v>247</v>
      </c>
      <c r="E38" s="18" t="s">
        <v>290</v>
      </c>
      <c r="F38">
        <v>10800</v>
      </c>
      <c r="G38">
        <v>0.38907407407407407</v>
      </c>
      <c r="H38">
        <v>4202</v>
      </c>
      <c r="I38" s="18" t="s">
        <v>200</v>
      </c>
      <c r="J38" s="18" t="s">
        <v>291</v>
      </c>
      <c r="K38" s="18" t="s">
        <v>292</v>
      </c>
      <c r="L38" s="18" t="s">
        <v>293</v>
      </c>
      <c r="M38" s="1">
        <v>46128</v>
      </c>
      <c r="N38" s="18" t="s">
        <v>34</v>
      </c>
      <c r="O38" s="18" t="s">
        <v>51</v>
      </c>
      <c r="P38" s="18" t="s">
        <v>294</v>
      </c>
      <c r="Q38" s="18" t="s">
        <v>53</v>
      </c>
      <c r="R38" s="18"/>
    </row>
    <row r="39" spans="1:18" x14ac:dyDescent="0.25">
      <c r="A39" s="1">
        <v>45779</v>
      </c>
      <c r="B39" s="18" t="s">
        <v>295</v>
      </c>
      <c r="C39" s="18" t="s">
        <v>296</v>
      </c>
      <c r="D39" s="18" t="s">
        <v>247</v>
      </c>
      <c r="E39" s="18" t="s">
        <v>297</v>
      </c>
      <c r="F39">
        <v>28350</v>
      </c>
      <c r="G39">
        <v>0.38907407407407407</v>
      </c>
      <c r="H39">
        <v>11030.25</v>
      </c>
      <c r="I39" s="18" t="s">
        <v>102</v>
      </c>
      <c r="J39" s="18" t="s">
        <v>298</v>
      </c>
      <c r="K39" s="18" t="s">
        <v>299</v>
      </c>
      <c r="L39" s="18" t="s">
        <v>300</v>
      </c>
      <c r="M39" s="1">
        <v>46153</v>
      </c>
      <c r="N39" s="18" t="s">
        <v>34</v>
      </c>
      <c r="O39" s="18" t="s">
        <v>66</v>
      </c>
      <c r="P39" s="18" t="s">
        <v>301</v>
      </c>
      <c r="Q39" s="18" t="s">
        <v>53</v>
      </c>
      <c r="R39" s="18"/>
    </row>
    <row r="40" spans="1:18" x14ac:dyDescent="0.25">
      <c r="A40" s="1">
        <v>45790</v>
      </c>
      <c r="B40" s="18" t="s">
        <v>302</v>
      </c>
      <c r="C40" s="18" t="s">
        <v>303</v>
      </c>
      <c r="D40" s="18" t="s">
        <v>304</v>
      </c>
      <c r="E40" s="18" t="s">
        <v>207</v>
      </c>
      <c r="F40">
        <v>7200</v>
      </c>
      <c r="G40">
        <v>0.70666666666666667</v>
      </c>
      <c r="H40">
        <v>5088</v>
      </c>
      <c r="I40" s="18" t="s">
        <v>233</v>
      </c>
      <c r="J40" s="18" t="s">
        <v>305</v>
      </c>
      <c r="K40" s="18" t="s">
        <v>306</v>
      </c>
      <c r="L40" s="18" t="s">
        <v>307</v>
      </c>
      <c r="M40" s="1">
        <v>46093</v>
      </c>
      <c r="N40" s="18" t="s">
        <v>34</v>
      </c>
      <c r="O40" s="18" t="s">
        <v>66</v>
      </c>
      <c r="P40" s="18" t="s">
        <v>308</v>
      </c>
      <c r="Q40" s="18" t="s">
        <v>53</v>
      </c>
      <c r="R40" s="18"/>
    </row>
    <row r="41" spans="1:18" x14ac:dyDescent="0.25">
      <c r="A41" s="1">
        <v>45793</v>
      </c>
      <c r="B41" s="18" t="s">
        <v>309</v>
      </c>
      <c r="C41" s="18" t="s">
        <v>310</v>
      </c>
      <c r="D41" s="18" t="s">
        <v>304</v>
      </c>
      <c r="E41" s="18" t="s">
        <v>311</v>
      </c>
      <c r="F41">
        <v>3744</v>
      </c>
      <c r="G41">
        <v>0.70666666666666667</v>
      </c>
      <c r="H41">
        <v>2645.76</v>
      </c>
      <c r="I41" s="18" t="s">
        <v>233</v>
      </c>
      <c r="J41" s="18" t="s">
        <v>312</v>
      </c>
      <c r="K41" s="18" t="s">
        <v>313</v>
      </c>
      <c r="L41" s="18" t="s">
        <v>314</v>
      </c>
      <c r="M41" s="1">
        <v>46406</v>
      </c>
      <c r="N41" s="18" t="s">
        <v>34</v>
      </c>
      <c r="O41" s="18" t="s">
        <v>51</v>
      </c>
      <c r="P41" s="18" t="s">
        <v>315</v>
      </c>
      <c r="Q41" s="18" t="s">
        <v>53</v>
      </c>
      <c r="R41" s="18"/>
    </row>
    <row r="42" spans="1:18" x14ac:dyDescent="0.25">
      <c r="A42" s="1">
        <v>45794</v>
      </c>
      <c r="B42" s="18" t="s">
        <v>316</v>
      </c>
      <c r="C42" s="18" t="s">
        <v>317</v>
      </c>
      <c r="D42" s="18" t="s">
        <v>304</v>
      </c>
      <c r="E42" s="18" t="s">
        <v>199</v>
      </c>
      <c r="F42">
        <v>510</v>
      </c>
      <c r="G42">
        <v>0.26600000000000001</v>
      </c>
      <c r="H42">
        <v>135.66</v>
      </c>
      <c r="I42" s="18" t="s">
        <v>233</v>
      </c>
      <c r="J42" s="18" t="s">
        <v>318</v>
      </c>
      <c r="K42" s="18" t="s">
        <v>319</v>
      </c>
      <c r="L42" s="18" t="s">
        <v>320</v>
      </c>
      <c r="M42" s="1">
        <v>46105</v>
      </c>
      <c r="N42" s="18" t="s">
        <v>34</v>
      </c>
      <c r="O42" s="18" t="s">
        <v>51</v>
      </c>
      <c r="P42" s="18" t="s">
        <v>321</v>
      </c>
      <c r="Q42" s="18" t="s">
        <v>53</v>
      </c>
      <c r="R42" s="18"/>
    </row>
    <row r="43" spans="1:18" x14ac:dyDescent="0.25">
      <c r="A43" s="1">
        <v>45796</v>
      </c>
      <c r="B43" s="18" t="s">
        <v>322</v>
      </c>
      <c r="C43" s="18" t="s">
        <v>323</v>
      </c>
      <c r="D43" s="18" t="s">
        <v>304</v>
      </c>
      <c r="E43" s="18" t="s">
        <v>324</v>
      </c>
      <c r="F43">
        <v>387000</v>
      </c>
      <c r="G43">
        <v>0.36404000000000003</v>
      </c>
      <c r="H43">
        <v>140883.48000000001</v>
      </c>
      <c r="I43" s="18" t="s">
        <v>233</v>
      </c>
      <c r="J43" s="18" t="s">
        <v>325</v>
      </c>
      <c r="K43" s="18" t="s">
        <v>326</v>
      </c>
      <c r="L43" s="18" t="s">
        <v>327</v>
      </c>
      <c r="M43" s="1">
        <v>46181</v>
      </c>
      <c r="N43" s="18" t="s">
        <v>34</v>
      </c>
      <c r="O43" s="18" t="s">
        <v>66</v>
      </c>
      <c r="P43" s="18" t="s">
        <v>328</v>
      </c>
      <c r="Q43" s="18" t="s">
        <v>53</v>
      </c>
      <c r="R43" s="18"/>
    </row>
    <row r="44" spans="1:18" x14ac:dyDescent="0.25">
      <c r="A44" s="1">
        <v>45796</v>
      </c>
      <c r="B44" s="18" t="s">
        <v>329</v>
      </c>
      <c r="C44" s="18" t="s">
        <v>330</v>
      </c>
      <c r="D44" s="18" t="s">
        <v>304</v>
      </c>
      <c r="E44" s="18" t="s">
        <v>324</v>
      </c>
      <c r="F44">
        <v>6800</v>
      </c>
      <c r="G44">
        <v>0.97140000000000004</v>
      </c>
      <c r="H44">
        <v>6605.52</v>
      </c>
      <c r="I44" s="18" t="s">
        <v>76</v>
      </c>
      <c r="J44" s="18" t="s">
        <v>331</v>
      </c>
      <c r="K44" s="18" t="s">
        <v>332</v>
      </c>
      <c r="L44" s="18" t="s">
        <v>333</v>
      </c>
      <c r="M44" s="1">
        <v>46460</v>
      </c>
      <c r="N44" s="18" t="s">
        <v>34</v>
      </c>
      <c r="O44" s="18" t="s">
        <v>66</v>
      </c>
      <c r="P44" s="18" t="s">
        <v>334</v>
      </c>
      <c r="Q44" s="18" t="s">
        <v>53</v>
      </c>
      <c r="R44" s="18"/>
    </row>
    <row r="45" spans="1:18" x14ac:dyDescent="0.25">
      <c r="A45" s="1">
        <v>45808</v>
      </c>
      <c r="B45" s="18" t="s">
        <v>335</v>
      </c>
      <c r="C45" s="18" t="s">
        <v>336</v>
      </c>
      <c r="D45" s="18" t="s">
        <v>304</v>
      </c>
      <c r="E45" s="18" t="s">
        <v>337</v>
      </c>
      <c r="F45">
        <v>7200</v>
      </c>
      <c r="G45">
        <v>0.96379999999999999</v>
      </c>
      <c r="H45">
        <v>6939.36</v>
      </c>
      <c r="I45" s="18" t="s">
        <v>233</v>
      </c>
      <c r="J45" s="18" t="s">
        <v>338</v>
      </c>
      <c r="K45" s="18" t="s">
        <v>339</v>
      </c>
      <c r="L45" s="18" t="s">
        <v>340</v>
      </c>
      <c r="M45" s="1">
        <v>46223</v>
      </c>
      <c r="N45" s="18" t="s">
        <v>34</v>
      </c>
      <c r="O45" s="18" t="s">
        <v>66</v>
      </c>
      <c r="P45" s="18" t="s">
        <v>341</v>
      </c>
      <c r="Q45" s="18" t="s">
        <v>53</v>
      </c>
      <c r="R45" s="18"/>
    </row>
    <row r="46" spans="1:18" x14ac:dyDescent="0.25">
      <c r="A46" s="1">
        <v>45811</v>
      </c>
      <c r="B46" s="18" t="s">
        <v>342</v>
      </c>
      <c r="C46" s="18" t="s">
        <v>343</v>
      </c>
      <c r="D46" s="18" t="s">
        <v>304</v>
      </c>
      <c r="E46" s="18" t="s">
        <v>207</v>
      </c>
      <c r="F46">
        <v>1050</v>
      </c>
      <c r="G46">
        <v>0.96379999999999999</v>
      </c>
      <c r="H46">
        <v>1011.99</v>
      </c>
      <c r="I46" s="18" t="s">
        <v>233</v>
      </c>
      <c r="J46" s="18" t="s">
        <v>344</v>
      </c>
      <c r="K46" s="18" t="s">
        <v>345</v>
      </c>
      <c r="L46" s="18" t="s">
        <v>346</v>
      </c>
      <c r="M46" s="1">
        <v>46491</v>
      </c>
      <c r="N46" s="18" t="s">
        <v>34</v>
      </c>
      <c r="O46" s="18" t="s">
        <v>51</v>
      </c>
      <c r="P46" s="18" t="s">
        <v>347</v>
      </c>
      <c r="Q46" s="18" t="s">
        <v>53</v>
      </c>
      <c r="R46" s="18"/>
    </row>
    <row r="47" spans="1:18" x14ac:dyDescent="0.25">
      <c r="A47" s="1">
        <v>45818</v>
      </c>
      <c r="B47" s="18" t="s">
        <v>348</v>
      </c>
      <c r="C47" s="18" t="s">
        <v>349</v>
      </c>
      <c r="D47" s="18" t="s">
        <v>350</v>
      </c>
      <c r="E47" s="18" t="s">
        <v>351</v>
      </c>
      <c r="F47">
        <v>11</v>
      </c>
      <c r="G47">
        <v>89.5</v>
      </c>
      <c r="H47">
        <v>984.5</v>
      </c>
      <c r="I47" s="18" t="s">
        <v>352</v>
      </c>
      <c r="J47" s="18" t="s">
        <v>353</v>
      </c>
      <c r="K47" s="18" t="s">
        <v>354</v>
      </c>
      <c r="L47" s="18" t="s">
        <v>355</v>
      </c>
      <c r="M47" s="1">
        <v>46430</v>
      </c>
      <c r="N47" s="18" t="s">
        <v>34</v>
      </c>
      <c r="O47" s="18" t="s">
        <v>356</v>
      </c>
      <c r="P47" s="18" t="s">
        <v>357</v>
      </c>
      <c r="Q47" s="18" t="s">
        <v>358</v>
      </c>
      <c r="R47" s="18"/>
    </row>
    <row r="48" spans="1:18" x14ac:dyDescent="0.25">
      <c r="A48" s="1">
        <v>45820</v>
      </c>
      <c r="B48" s="18" t="s">
        <v>359</v>
      </c>
      <c r="C48" s="18" t="s">
        <v>360</v>
      </c>
      <c r="D48" s="18" t="s">
        <v>350</v>
      </c>
      <c r="E48" s="18" t="s">
        <v>361</v>
      </c>
      <c r="F48">
        <v>12</v>
      </c>
      <c r="G48">
        <v>312</v>
      </c>
      <c r="H48">
        <v>3744</v>
      </c>
      <c r="I48" s="18" t="s">
        <v>352</v>
      </c>
      <c r="J48" s="18" t="s">
        <v>362</v>
      </c>
      <c r="K48" s="18" t="s">
        <v>363</v>
      </c>
      <c r="L48" s="18" t="s">
        <v>364</v>
      </c>
      <c r="M48" s="1">
        <v>46166</v>
      </c>
      <c r="N48" s="18" t="s">
        <v>34</v>
      </c>
      <c r="O48" s="18" t="s">
        <v>356</v>
      </c>
      <c r="P48" s="18" t="s">
        <v>365</v>
      </c>
      <c r="Q48" s="18" t="s">
        <v>358</v>
      </c>
      <c r="R48" s="18"/>
    </row>
    <row r="49" spans="1:18" x14ac:dyDescent="0.25">
      <c r="A49" s="1">
        <v>45825</v>
      </c>
      <c r="B49" s="18" t="s">
        <v>366</v>
      </c>
      <c r="C49" s="18" t="s">
        <v>367</v>
      </c>
      <c r="D49" s="18" t="s">
        <v>350</v>
      </c>
      <c r="E49" s="18" t="s">
        <v>368</v>
      </c>
      <c r="F49">
        <v>1024</v>
      </c>
      <c r="G49">
        <v>14</v>
      </c>
      <c r="H49">
        <v>14336</v>
      </c>
      <c r="I49" s="18" t="s">
        <v>352</v>
      </c>
      <c r="J49" s="18" t="s">
        <v>369</v>
      </c>
      <c r="K49" s="18" t="s">
        <v>370</v>
      </c>
      <c r="L49" s="18" t="s">
        <v>371</v>
      </c>
      <c r="M49" s="1">
        <v>46410</v>
      </c>
      <c r="N49" s="18" t="s">
        <v>34</v>
      </c>
      <c r="O49" s="18" t="s">
        <v>356</v>
      </c>
      <c r="P49" s="18" t="s">
        <v>372</v>
      </c>
      <c r="Q49" s="18" t="s">
        <v>358</v>
      </c>
      <c r="R49" s="18"/>
    </row>
    <row r="50" spans="1:18" x14ac:dyDescent="0.25">
      <c r="A50" s="1">
        <v>45825</v>
      </c>
      <c r="B50" s="18" t="s">
        <v>373</v>
      </c>
      <c r="C50" s="18" t="s">
        <v>374</v>
      </c>
      <c r="D50" s="18" t="s">
        <v>350</v>
      </c>
      <c r="E50" s="18" t="s">
        <v>375</v>
      </c>
      <c r="F50">
        <v>8</v>
      </c>
      <c r="G50">
        <v>12</v>
      </c>
      <c r="H50">
        <v>96</v>
      </c>
      <c r="I50" s="18" t="s">
        <v>352</v>
      </c>
      <c r="J50" s="18" t="s">
        <v>376</v>
      </c>
      <c r="K50" s="18" t="s">
        <v>377</v>
      </c>
      <c r="L50" s="18" t="s">
        <v>378</v>
      </c>
      <c r="M50" s="1">
        <v>46067</v>
      </c>
      <c r="N50" s="18" t="s">
        <v>34</v>
      </c>
      <c r="O50" s="18" t="s">
        <v>379</v>
      </c>
      <c r="P50" s="18" t="s">
        <v>372</v>
      </c>
      <c r="Q50" s="18" t="s">
        <v>358</v>
      </c>
      <c r="R50" s="18"/>
    </row>
    <row r="51" spans="1:18" x14ac:dyDescent="0.25">
      <c r="A51" s="1">
        <v>45832</v>
      </c>
      <c r="B51" s="18" t="s">
        <v>380</v>
      </c>
      <c r="C51" s="18" t="s">
        <v>381</v>
      </c>
      <c r="D51" s="18" t="s">
        <v>382</v>
      </c>
      <c r="E51" s="18" t="s">
        <v>383</v>
      </c>
      <c r="F51">
        <v>24</v>
      </c>
      <c r="G51">
        <v>4.5</v>
      </c>
      <c r="H51">
        <v>108</v>
      </c>
      <c r="I51" s="18" t="s">
        <v>384</v>
      </c>
      <c r="J51" s="18" t="s">
        <v>385</v>
      </c>
      <c r="K51" s="18" t="s">
        <v>386</v>
      </c>
      <c r="L51" s="18" t="s">
        <v>387</v>
      </c>
      <c r="M51" s="1">
        <v>46187</v>
      </c>
      <c r="N51" s="18" t="s">
        <v>34</v>
      </c>
      <c r="O51" s="18" t="s">
        <v>356</v>
      </c>
      <c r="P51" s="18" t="s">
        <v>388</v>
      </c>
      <c r="Q51" s="18" t="s">
        <v>358</v>
      </c>
      <c r="R51" s="18"/>
    </row>
    <row r="52" spans="1:18" x14ac:dyDescent="0.25">
      <c r="A52" s="1">
        <v>45833</v>
      </c>
      <c r="B52" s="18" t="s">
        <v>389</v>
      </c>
      <c r="C52" s="18" t="s">
        <v>390</v>
      </c>
      <c r="D52" s="18" t="s">
        <v>382</v>
      </c>
      <c r="E52" s="18" t="s">
        <v>391</v>
      </c>
      <c r="F52">
        <v>10000</v>
      </c>
      <c r="G52">
        <v>3.5999999999999997E-2</v>
      </c>
      <c r="H52">
        <v>360</v>
      </c>
      <c r="I52" s="18" t="s">
        <v>384</v>
      </c>
      <c r="J52" s="18" t="s">
        <v>392</v>
      </c>
      <c r="K52" s="18" t="s">
        <v>393</v>
      </c>
      <c r="L52" s="18" t="s">
        <v>211</v>
      </c>
      <c r="M52" s="1">
        <v>46208</v>
      </c>
      <c r="N52" s="18" t="s">
        <v>34</v>
      </c>
      <c r="O52" s="18" t="s">
        <v>379</v>
      </c>
      <c r="P52" s="18" t="s">
        <v>394</v>
      </c>
      <c r="Q52" s="18" t="s">
        <v>358</v>
      </c>
      <c r="R52" s="18"/>
    </row>
    <row r="53" spans="1:18" x14ac:dyDescent="0.25">
      <c r="A53" s="1">
        <v>45834</v>
      </c>
      <c r="B53" s="18" t="s">
        <v>395</v>
      </c>
      <c r="C53" s="18" t="s">
        <v>396</v>
      </c>
      <c r="D53" s="18" t="s">
        <v>397</v>
      </c>
      <c r="E53" s="18" t="s">
        <v>398</v>
      </c>
      <c r="F53">
        <v>500</v>
      </c>
      <c r="G53">
        <v>1.24</v>
      </c>
      <c r="H53">
        <v>620</v>
      </c>
      <c r="I53" s="18" t="s">
        <v>399</v>
      </c>
      <c r="J53" s="18" t="s">
        <v>400</v>
      </c>
      <c r="K53" s="18" t="s">
        <v>401</v>
      </c>
      <c r="L53" s="18" t="s">
        <v>217</v>
      </c>
      <c r="M53" s="1">
        <v>46211</v>
      </c>
      <c r="N53" s="18" t="s">
        <v>34</v>
      </c>
      <c r="O53" s="18" t="s">
        <v>356</v>
      </c>
      <c r="P53" s="18" t="s">
        <v>402</v>
      </c>
      <c r="Q53" s="18" t="s">
        <v>358</v>
      </c>
      <c r="R53" s="18"/>
    </row>
    <row r="54" spans="1:18" x14ac:dyDescent="0.25">
      <c r="A54" s="1">
        <v>45837</v>
      </c>
      <c r="B54" s="18" t="s">
        <v>403</v>
      </c>
      <c r="C54" s="18" t="s">
        <v>404</v>
      </c>
      <c r="D54" s="18" t="s">
        <v>397</v>
      </c>
      <c r="E54" s="18" t="s">
        <v>398</v>
      </c>
      <c r="F54">
        <v>500</v>
      </c>
      <c r="G54">
        <v>0.48</v>
      </c>
      <c r="H54">
        <v>240</v>
      </c>
      <c r="I54" s="18" t="s">
        <v>399</v>
      </c>
      <c r="J54" s="18" t="s">
        <v>405</v>
      </c>
      <c r="K54" s="18" t="s">
        <v>406</v>
      </c>
      <c r="L54" s="18" t="s">
        <v>224</v>
      </c>
      <c r="M54" s="1">
        <v>46207</v>
      </c>
      <c r="N54" s="18" t="s">
        <v>34</v>
      </c>
      <c r="O54" s="18" t="s">
        <v>379</v>
      </c>
      <c r="P54" s="18" t="s">
        <v>407</v>
      </c>
      <c r="Q54" s="18" t="s">
        <v>358</v>
      </c>
      <c r="R54" s="18"/>
    </row>
    <row r="55" spans="1:18" x14ac:dyDescent="0.25">
      <c r="A55" s="1">
        <v>45837</v>
      </c>
      <c r="B55" s="18" t="s">
        <v>408</v>
      </c>
      <c r="C55" s="18" t="s">
        <v>409</v>
      </c>
      <c r="D55" s="18" t="s">
        <v>397</v>
      </c>
      <c r="E55" s="18" t="s">
        <v>410</v>
      </c>
      <c r="F55">
        <v>60</v>
      </c>
      <c r="G55">
        <v>6</v>
      </c>
      <c r="H55">
        <v>360</v>
      </c>
      <c r="I55" s="18" t="s">
        <v>399</v>
      </c>
      <c r="J55" s="18" t="s">
        <v>411</v>
      </c>
      <c r="K55" s="18" t="s">
        <v>412</v>
      </c>
      <c r="L55" s="18" t="s">
        <v>72</v>
      </c>
      <c r="M55" s="1">
        <v>46235</v>
      </c>
      <c r="N55" s="18" t="s">
        <v>34</v>
      </c>
      <c r="O55" s="18" t="s">
        <v>379</v>
      </c>
      <c r="P55" s="18" t="s">
        <v>388</v>
      </c>
      <c r="Q55" s="18" t="s">
        <v>358</v>
      </c>
      <c r="R55" s="18"/>
    </row>
    <row r="56" spans="1:18" x14ac:dyDescent="0.25">
      <c r="A56" s="1">
        <v>45837</v>
      </c>
      <c r="B56" s="18" t="s">
        <v>413</v>
      </c>
      <c r="C56" s="18" t="s">
        <v>414</v>
      </c>
      <c r="D56" s="18" t="s">
        <v>397</v>
      </c>
      <c r="E56" s="18" t="s">
        <v>415</v>
      </c>
      <c r="F56">
        <v>48</v>
      </c>
      <c r="G56">
        <v>24</v>
      </c>
      <c r="H56">
        <v>1152</v>
      </c>
      <c r="I56" s="18" t="s">
        <v>399</v>
      </c>
      <c r="J56" s="18" t="s">
        <v>416</v>
      </c>
      <c r="K56" s="18" t="s">
        <v>417</v>
      </c>
      <c r="L56" s="18" t="s">
        <v>79</v>
      </c>
      <c r="M56" s="1">
        <v>46604</v>
      </c>
      <c r="N56" s="18" t="s">
        <v>34</v>
      </c>
      <c r="O56" s="18" t="s">
        <v>379</v>
      </c>
      <c r="P56" s="18" t="s">
        <v>418</v>
      </c>
      <c r="Q56" s="18" t="s">
        <v>358</v>
      </c>
      <c r="R56" s="18"/>
    </row>
    <row r="57" spans="1:18" x14ac:dyDescent="0.25">
      <c r="A57" s="1">
        <v>45838</v>
      </c>
      <c r="B57" s="18" t="s">
        <v>419</v>
      </c>
      <c r="C57" s="18" t="s">
        <v>420</v>
      </c>
      <c r="D57" s="18" t="s">
        <v>421</v>
      </c>
      <c r="E57" s="18" t="s">
        <v>422</v>
      </c>
      <c r="F57">
        <v>2300</v>
      </c>
      <c r="G57">
        <v>0.14499999999999999</v>
      </c>
      <c r="H57">
        <v>333.5</v>
      </c>
      <c r="I57" s="18" t="s">
        <v>423</v>
      </c>
      <c r="J57" s="18" t="s">
        <v>424</v>
      </c>
      <c r="K57" s="18" t="s">
        <v>425</v>
      </c>
      <c r="L57" s="18" t="s">
        <v>84</v>
      </c>
      <c r="M57" s="1">
        <v>46214</v>
      </c>
      <c r="N57" s="18" t="s">
        <v>34</v>
      </c>
      <c r="O57" s="18" t="s">
        <v>356</v>
      </c>
      <c r="P57" s="18" t="s">
        <v>426</v>
      </c>
      <c r="Q57" s="18" t="s">
        <v>358</v>
      </c>
      <c r="R57" s="18"/>
    </row>
    <row r="58" spans="1:18" x14ac:dyDescent="0.25">
      <c r="A58" s="1">
        <v>45838</v>
      </c>
      <c r="B58" s="18" t="s">
        <v>427</v>
      </c>
      <c r="C58" s="18" t="s">
        <v>428</v>
      </c>
      <c r="D58" s="18" t="s">
        <v>421</v>
      </c>
      <c r="E58" s="18" t="s">
        <v>422</v>
      </c>
      <c r="F58">
        <v>5900</v>
      </c>
      <c r="G58">
        <v>0.14499999999999999</v>
      </c>
      <c r="H58">
        <v>855.5</v>
      </c>
      <c r="I58" s="18" t="s">
        <v>423</v>
      </c>
      <c r="J58" s="18" t="s">
        <v>429</v>
      </c>
      <c r="K58" s="18" t="s">
        <v>430</v>
      </c>
      <c r="L58" s="18" t="s">
        <v>90</v>
      </c>
      <c r="M58" s="1">
        <v>46415</v>
      </c>
      <c r="N58" s="18" t="s">
        <v>34</v>
      </c>
      <c r="O58" s="18" t="s">
        <v>356</v>
      </c>
      <c r="P58" s="18" t="s">
        <v>426</v>
      </c>
      <c r="Q58" s="18" t="s">
        <v>358</v>
      </c>
      <c r="R58" s="18"/>
    </row>
    <row r="59" spans="1:18" x14ac:dyDescent="0.25">
      <c r="A59" s="1">
        <v>45838</v>
      </c>
      <c r="B59" s="18" t="s">
        <v>431</v>
      </c>
      <c r="C59" s="18" t="s">
        <v>432</v>
      </c>
      <c r="D59" s="18" t="s">
        <v>421</v>
      </c>
      <c r="E59" s="18" t="s">
        <v>433</v>
      </c>
      <c r="F59">
        <v>20000</v>
      </c>
      <c r="G59">
        <v>0.28000000000000003</v>
      </c>
      <c r="H59">
        <v>5600</v>
      </c>
      <c r="I59" s="18" t="s">
        <v>423</v>
      </c>
      <c r="J59" s="18" t="s">
        <v>434</v>
      </c>
      <c r="K59" s="18" t="s">
        <v>435</v>
      </c>
      <c r="L59" s="18" t="s">
        <v>96</v>
      </c>
      <c r="M59" s="1">
        <v>46696</v>
      </c>
      <c r="N59" s="18" t="s">
        <v>34</v>
      </c>
      <c r="O59" s="18" t="s">
        <v>356</v>
      </c>
      <c r="P59" s="18" t="s">
        <v>407</v>
      </c>
      <c r="Q59" s="18" t="s">
        <v>358</v>
      </c>
      <c r="R59" s="18"/>
    </row>
    <row r="60" spans="1:18" x14ac:dyDescent="0.25">
      <c r="A60" s="1">
        <v>45839</v>
      </c>
      <c r="B60" s="18" t="s">
        <v>436</v>
      </c>
      <c r="C60" s="18" t="s">
        <v>437</v>
      </c>
      <c r="D60" s="18" t="s">
        <v>421</v>
      </c>
      <c r="E60" s="18" t="s">
        <v>438</v>
      </c>
      <c r="F60">
        <v>20880</v>
      </c>
      <c r="G60">
        <v>8.3333333333333329E-2</v>
      </c>
      <c r="H60">
        <v>1740</v>
      </c>
      <c r="I60" s="18" t="s">
        <v>423</v>
      </c>
      <c r="J60" s="18" t="s">
        <v>439</v>
      </c>
      <c r="K60" s="18" t="s">
        <v>440</v>
      </c>
      <c r="L60" s="18" t="s">
        <v>105</v>
      </c>
      <c r="M60" s="1">
        <v>46241</v>
      </c>
      <c r="N60" s="18" t="s">
        <v>34</v>
      </c>
      <c r="O60" s="18" t="s">
        <v>379</v>
      </c>
      <c r="P60" s="18" t="s">
        <v>441</v>
      </c>
      <c r="Q60" s="18" t="s">
        <v>358</v>
      </c>
      <c r="R60" s="18"/>
    </row>
    <row r="61" spans="1:18" x14ac:dyDescent="0.25">
      <c r="A61" s="1">
        <v>45839</v>
      </c>
      <c r="B61" s="18" t="s">
        <v>442</v>
      </c>
      <c r="C61" s="18" t="s">
        <v>443</v>
      </c>
      <c r="D61" s="18" t="s">
        <v>444</v>
      </c>
      <c r="E61" s="18" t="s">
        <v>445</v>
      </c>
      <c r="F61">
        <v>12</v>
      </c>
      <c r="G61">
        <v>48</v>
      </c>
      <c r="H61">
        <v>576</v>
      </c>
      <c r="I61" s="18" t="s">
        <v>384</v>
      </c>
      <c r="J61" s="18" t="s">
        <v>446</v>
      </c>
      <c r="K61" s="18" t="s">
        <v>447</v>
      </c>
      <c r="L61" s="18" t="s">
        <v>112</v>
      </c>
      <c r="M61" s="1">
        <v>46707</v>
      </c>
      <c r="N61" s="18" t="s">
        <v>34</v>
      </c>
      <c r="O61" s="18" t="s">
        <v>356</v>
      </c>
      <c r="P61" s="18" t="s">
        <v>448</v>
      </c>
      <c r="Q61" s="18" t="s">
        <v>358</v>
      </c>
      <c r="R61" s="18"/>
    </row>
    <row r="62" spans="1:18" x14ac:dyDescent="0.25">
      <c r="A62" s="1">
        <v>45841</v>
      </c>
      <c r="B62" s="18" t="s">
        <v>449</v>
      </c>
      <c r="C62" s="18" t="s">
        <v>450</v>
      </c>
      <c r="D62" s="18" t="s">
        <v>444</v>
      </c>
      <c r="E62" s="18" t="s">
        <v>451</v>
      </c>
      <c r="F62">
        <v>36</v>
      </c>
      <c r="G62">
        <v>32</v>
      </c>
      <c r="H62">
        <v>1152</v>
      </c>
      <c r="I62" s="18" t="s">
        <v>138</v>
      </c>
      <c r="J62" s="18" t="s">
        <v>452</v>
      </c>
      <c r="K62" s="18" t="s">
        <v>453</v>
      </c>
      <c r="L62" s="18" t="s">
        <v>118</v>
      </c>
      <c r="M62" s="1">
        <v>46145</v>
      </c>
      <c r="N62" s="18" t="s">
        <v>34</v>
      </c>
      <c r="O62" s="18" t="s">
        <v>356</v>
      </c>
      <c r="P62" s="18" t="s">
        <v>448</v>
      </c>
      <c r="Q62" s="18" t="s">
        <v>358</v>
      </c>
      <c r="R62" s="18"/>
    </row>
    <row r="63" spans="1:18" x14ac:dyDescent="0.25">
      <c r="A63" s="1">
        <v>45841</v>
      </c>
      <c r="B63" s="18" t="s">
        <v>454</v>
      </c>
      <c r="C63" s="18" t="s">
        <v>455</v>
      </c>
      <c r="D63" s="18" t="s">
        <v>444</v>
      </c>
      <c r="E63" s="18" t="s">
        <v>456</v>
      </c>
      <c r="F63">
        <v>468</v>
      </c>
      <c r="G63">
        <v>3</v>
      </c>
      <c r="H63">
        <v>1404</v>
      </c>
      <c r="I63" s="18" t="s">
        <v>138</v>
      </c>
      <c r="J63" s="18" t="s">
        <v>457</v>
      </c>
      <c r="K63" s="18" t="s">
        <v>458</v>
      </c>
      <c r="L63" s="18" t="s">
        <v>125</v>
      </c>
      <c r="M63" s="1">
        <v>46373</v>
      </c>
      <c r="N63" s="18" t="s">
        <v>34</v>
      </c>
      <c r="O63" s="18" t="s">
        <v>379</v>
      </c>
      <c r="P63" s="18" t="s">
        <v>459</v>
      </c>
      <c r="Q63" s="18" t="s">
        <v>358</v>
      </c>
      <c r="R63" s="18"/>
    </row>
    <row r="64" spans="1:18" x14ac:dyDescent="0.25">
      <c r="A64" s="1">
        <v>45843</v>
      </c>
      <c r="B64" s="18" t="s">
        <v>460</v>
      </c>
      <c r="C64" s="18" t="s">
        <v>461</v>
      </c>
      <c r="D64" s="18" t="s">
        <v>444</v>
      </c>
      <c r="E64" s="18" t="s">
        <v>462</v>
      </c>
      <c r="F64">
        <v>20</v>
      </c>
      <c r="G64">
        <v>16</v>
      </c>
      <c r="H64">
        <v>320</v>
      </c>
      <c r="I64" s="18" t="s">
        <v>138</v>
      </c>
      <c r="J64" s="18" t="s">
        <v>463</v>
      </c>
      <c r="K64" s="18" t="s">
        <v>464</v>
      </c>
      <c r="L64" s="18" t="s">
        <v>132</v>
      </c>
      <c r="M64" s="1">
        <v>46107</v>
      </c>
      <c r="N64" s="18" t="s">
        <v>34</v>
      </c>
      <c r="O64" s="18" t="s">
        <v>379</v>
      </c>
      <c r="P64" s="18" t="s">
        <v>465</v>
      </c>
      <c r="Q64" s="18" t="s">
        <v>358</v>
      </c>
      <c r="R64" s="18"/>
    </row>
    <row r="65" spans="1:18" x14ac:dyDescent="0.25">
      <c r="A65" s="1">
        <v>45843</v>
      </c>
      <c r="B65" s="18" t="s">
        <v>466</v>
      </c>
      <c r="C65" s="18" t="s">
        <v>467</v>
      </c>
      <c r="D65" s="18" t="s">
        <v>444</v>
      </c>
      <c r="E65" s="18" t="s">
        <v>468</v>
      </c>
      <c r="F65">
        <v>1125</v>
      </c>
      <c r="G65">
        <v>0.88</v>
      </c>
      <c r="H65">
        <v>990</v>
      </c>
      <c r="I65" s="18" t="s">
        <v>138</v>
      </c>
      <c r="J65" s="18" t="s">
        <v>469</v>
      </c>
      <c r="K65" s="18" t="s">
        <v>470</v>
      </c>
      <c r="L65" s="18" t="s">
        <v>141</v>
      </c>
      <c r="M65" s="1">
        <v>47018</v>
      </c>
      <c r="N65" s="18" t="s">
        <v>34</v>
      </c>
      <c r="O65" s="18" t="s">
        <v>379</v>
      </c>
      <c r="P65" s="18" t="s">
        <v>471</v>
      </c>
      <c r="Q65" s="18" t="s">
        <v>358</v>
      </c>
      <c r="R65" s="18"/>
    </row>
    <row r="66" spans="1:18" x14ac:dyDescent="0.25">
      <c r="A66" s="1">
        <v>45846</v>
      </c>
      <c r="B66" s="18" t="s">
        <v>472</v>
      </c>
      <c r="C66" s="18" t="s">
        <v>473</v>
      </c>
      <c r="D66" s="18" t="s">
        <v>474</v>
      </c>
      <c r="E66" s="18" t="s">
        <v>475</v>
      </c>
      <c r="F66">
        <v>864</v>
      </c>
      <c r="G66">
        <v>1.0833333333333333</v>
      </c>
      <c r="H66">
        <v>936</v>
      </c>
      <c r="I66" s="18" t="s">
        <v>76</v>
      </c>
      <c r="J66" s="18" t="s">
        <v>476</v>
      </c>
      <c r="K66" s="18" t="s">
        <v>477</v>
      </c>
      <c r="L66" s="18" t="s">
        <v>147</v>
      </c>
      <c r="M66" s="1">
        <v>46244</v>
      </c>
      <c r="N66" s="18" t="s">
        <v>34</v>
      </c>
      <c r="O66" s="18" t="s">
        <v>356</v>
      </c>
      <c r="P66" s="18" t="s">
        <v>478</v>
      </c>
      <c r="Q66" s="18" t="s">
        <v>358</v>
      </c>
      <c r="R66" s="18"/>
    </row>
    <row r="67" spans="1:18" x14ac:dyDescent="0.25">
      <c r="A67" s="1">
        <v>45846</v>
      </c>
      <c r="B67" s="18" t="s">
        <v>479</v>
      </c>
      <c r="C67" s="18" t="s">
        <v>480</v>
      </c>
      <c r="D67" s="18" t="s">
        <v>474</v>
      </c>
      <c r="E67" s="18" t="s">
        <v>481</v>
      </c>
      <c r="F67">
        <v>3100</v>
      </c>
      <c r="G67">
        <v>2.3199999999999998</v>
      </c>
      <c r="H67">
        <v>7192</v>
      </c>
      <c r="I67" s="18" t="s">
        <v>138</v>
      </c>
      <c r="J67" s="18" t="s">
        <v>482</v>
      </c>
      <c r="K67" s="18" t="s">
        <v>483</v>
      </c>
      <c r="L67" s="18" t="s">
        <v>153</v>
      </c>
      <c r="M67" s="1">
        <v>46355</v>
      </c>
      <c r="N67" s="18" t="s">
        <v>34</v>
      </c>
      <c r="O67" s="18" t="s">
        <v>356</v>
      </c>
      <c r="P67" s="18" t="s">
        <v>484</v>
      </c>
      <c r="Q67" s="18" t="s">
        <v>358</v>
      </c>
      <c r="R67" s="18"/>
    </row>
    <row r="68" spans="1:18" x14ac:dyDescent="0.25">
      <c r="A68" s="1">
        <v>45847</v>
      </c>
      <c r="B68" s="18" t="s">
        <v>485</v>
      </c>
      <c r="C68" s="18" t="s">
        <v>486</v>
      </c>
      <c r="D68" s="18" t="s">
        <v>474</v>
      </c>
      <c r="E68" s="18" t="s">
        <v>487</v>
      </c>
      <c r="F68">
        <v>37400</v>
      </c>
      <c r="G68">
        <v>0.36</v>
      </c>
      <c r="H68">
        <v>13464</v>
      </c>
      <c r="I68" s="18" t="s">
        <v>352</v>
      </c>
      <c r="J68" s="18" t="s">
        <v>488</v>
      </c>
      <c r="K68" s="18" t="s">
        <v>489</v>
      </c>
      <c r="L68" s="18" t="s">
        <v>307</v>
      </c>
      <c r="M68" s="1">
        <v>47069</v>
      </c>
      <c r="N68" s="18" t="s">
        <v>34</v>
      </c>
      <c r="O68" s="18" t="s">
        <v>379</v>
      </c>
      <c r="P68" s="18" t="s">
        <v>490</v>
      </c>
      <c r="Q68" s="18" t="s">
        <v>358</v>
      </c>
      <c r="R68" s="18"/>
    </row>
    <row r="69" spans="1:18" x14ac:dyDescent="0.25">
      <c r="A69" s="1">
        <v>45847</v>
      </c>
      <c r="B69" s="18" t="s">
        <v>491</v>
      </c>
      <c r="C69" s="18" t="s">
        <v>492</v>
      </c>
      <c r="D69" s="18" t="s">
        <v>474</v>
      </c>
      <c r="E69" s="18" t="s">
        <v>493</v>
      </c>
      <c r="F69">
        <v>56900</v>
      </c>
      <c r="G69">
        <v>0.24</v>
      </c>
      <c r="H69">
        <v>13656</v>
      </c>
      <c r="I69" s="18" t="s">
        <v>352</v>
      </c>
      <c r="J69" s="18" t="s">
        <v>494</v>
      </c>
      <c r="K69" s="18" t="s">
        <v>495</v>
      </c>
      <c r="L69" s="18" t="s">
        <v>314</v>
      </c>
      <c r="M69" s="1">
        <v>46224</v>
      </c>
      <c r="N69" s="18" t="s">
        <v>34</v>
      </c>
      <c r="O69" s="18" t="s">
        <v>379</v>
      </c>
      <c r="P69" s="18" t="s">
        <v>334</v>
      </c>
      <c r="Q69" s="18" t="s">
        <v>358</v>
      </c>
      <c r="R69" s="18"/>
    </row>
    <row r="70" spans="1:18" x14ac:dyDescent="0.25">
      <c r="A70" s="1">
        <v>45847</v>
      </c>
      <c r="B70" s="18" t="s">
        <v>496</v>
      </c>
      <c r="C70" s="18" t="s">
        <v>497</v>
      </c>
      <c r="D70" s="18" t="s">
        <v>397</v>
      </c>
      <c r="E70" s="18" t="s">
        <v>498</v>
      </c>
      <c r="F70">
        <v>20</v>
      </c>
      <c r="G70">
        <v>14</v>
      </c>
      <c r="H70">
        <v>280</v>
      </c>
      <c r="I70" s="18" t="s">
        <v>399</v>
      </c>
      <c r="J70" s="18" t="s">
        <v>499</v>
      </c>
      <c r="K70" s="18" t="s">
        <v>500</v>
      </c>
      <c r="L70" s="18" t="s">
        <v>320</v>
      </c>
      <c r="M70" s="1">
        <v>46147</v>
      </c>
      <c r="N70" s="18" t="s">
        <v>34</v>
      </c>
      <c r="O70" s="18" t="s">
        <v>379</v>
      </c>
      <c r="P70" s="18" t="s">
        <v>448</v>
      </c>
      <c r="Q70" s="18" t="s">
        <v>358</v>
      </c>
      <c r="R70" s="18"/>
    </row>
    <row r="71" spans="1:18" x14ac:dyDescent="0.25">
      <c r="A71" s="1">
        <v>45847</v>
      </c>
      <c r="B71" s="18" t="s">
        <v>501</v>
      </c>
      <c r="C71" s="18" t="s">
        <v>502</v>
      </c>
      <c r="D71" s="18" t="s">
        <v>503</v>
      </c>
      <c r="E71" s="18" t="s">
        <v>504</v>
      </c>
      <c r="F71">
        <v>15</v>
      </c>
      <c r="G71">
        <v>34</v>
      </c>
      <c r="H71">
        <v>510</v>
      </c>
      <c r="I71" s="18" t="s">
        <v>423</v>
      </c>
      <c r="J71" s="18" t="s">
        <v>505</v>
      </c>
      <c r="K71" s="18" t="s">
        <v>506</v>
      </c>
      <c r="L71" s="18" t="s">
        <v>327</v>
      </c>
      <c r="M71" s="1">
        <v>46237</v>
      </c>
      <c r="N71" s="18" t="s">
        <v>34</v>
      </c>
      <c r="O71" s="18" t="s">
        <v>379</v>
      </c>
      <c r="P71" s="18" t="s">
        <v>507</v>
      </c>
      <c r="Q71" s="18" t="s">
        <v>358</v>
      </c>
      <c r="R71" s="18"/>
    </row>
    <row r="72" spans="1:18" x14ac:dyDescent="0.25">
      <c r="A72" s="1">
        <v>45848</v>
      </c>
      <c r="B72" s="18" t="s">
        <v>508</v>
      </c>
      <c r="C72" s="18" t="s">
        <v>509</v>
      </c>
      <c r="D72" s="18" t="s">
        <v>510</v>
      </c>
      <c r="E72" s="18" t="s">
        <v>511</v>
      </c>
      <c r="F72">
        <v>77</v>
      </c>
      <c r="G72">
        <v>48</v>
      </c>
      <c r="H72">
        <v>3696</v>
      </c>
      <c r="I72" s="18" t="s">
        <v>512</v>
      </c>
      <c r="J72" s="18" t="s">
        <v>513</v>
      </c>
      <c r="K72" s="18" t="s">
        <v>514</v>
      </c>
      <c r="L72" s="18" t="s">
        <v>333</v>
      </c>
      <c r="M72" s="1">
        <v>46215</v>
      </c>
      <c r="N72" s="18" t="s">
        <v>34</v>
      </c>
      <c r="O72" s="18" t="s">
        <v>515</v>
      </c>
      <c r="P72" s="18" t="s">
        <v>418</v>
      </c>
      <c r="Q72" s="18" t="s">
        <v>516</v>
      </c>
      <c r="R72" s="18"/>
    </row>
    <row r="73" spans="1:18" x14ac:dyDescent="0.25">
      <c r="A73" s="1">
        <v>45848</v>
      </c>
      <c r="B73" s="18" t="s">
        <v>517</v>
      </c>
      <c r="C73" s="18" t="s">
        <v>518</v>
      </c>
      <c r="D73" s="18" t="s">
        <v>510</v>
      </c>
      <c r="E73" s="18" t="s">
        <v>519</v>
      </c>
      <c r="F73">
        <v>45</v>
      </c>
      <c r="G73">
        <v>18</v>
      </c>
      <c r="H73">
        <v>810</v>
      </c>
      <c r="I73" s="18" t="s">
        <v>512</v>
      </c>
      <c r="J73" s="18" t="s">
        <v>520</v>
      </c>
      <c r="K73" s="18" t="s">
        <v>521</v>
      </c>
      <c r="L73" s="18" t="s">
        <v>340</v>
      </c>
      <c r="M73" s="1">
        <v>46422</v>
      </c>
      <c r="N73" s="18" t="s">
        <v>34</v>
      </c>
      <c r="O73" s="18" t="s">
        <v>515</v>
      </c>
      <c r="P73" s="18" t="s">
        <v>418</v>
      </c>
      <c r="Q73" s="18" t="s">
        <v>516</v>
      </c>
      <c r="R73" s="18"/>
    </row>
    <row r="74" spans="1:18" x14ac:dyDescent="0.25">
      <c r="A74" s="1">
        <v>45849</v>
      </c>
      <c r="B74" s="18" t="s">
        <v>522</v>
      </c>
      <c r="C74" s="18" t="s">
        <v>523</v>
      </c>
      <c r="D74" s="18" t="s">
        <v>510</v>
      </c>
      <c r="E74" s="18" t="s">
        <v>524</v>
      </c>
      <c r="F74">
        <v>44</v>
      </c>
      <c r="G74">
        <v>42</v>
      </c>
      <c r="H74">
        <v>1848</v>
      </c>
      <c r="I74" s="18" t="s">
        <v>512</v>
      </c>
      <c r="J74" s="18" t="s">
        <v>525</v>
      </c>
      <c r="K74" s="18" t="s">
        <v>526</v>
      </c>
      <c r="L74" s="18" t="s">
        <v>346</v>
      </c>
      <c r="M74" s="1">
        <v>46153</v>
      </c>
      <c r="N74" s="18" t="s">
        <v>34</v>
      </c>
      <c r="O74" s="18" t="s">
        <v>515</v>
      </c>
      <c r="P74" s="18" t="s">
        <v>418</v>
      </c>
      <c r="Q74" s="18" t="s">
        <v>516</v>
      </c>
      <c r="R74" s="18"/>
    </row>
    <row r="75" spans="1:18" x14ac:dyDescent="0.25">
      <c r="A75" s="1">
        <v>45849</v>
      </c>
      <c r="B75" s="18" t="s">
        <v>527</v>
      </c>
      <c r="C75" s="18" t="s">
        <v>528</v>
      </c>
      <c r="D75" s="18" t="s">
        <v>510</v>
      </c>
      <c r="E75" s="18" t="s">
        <v>529</v>
      </c>
      <c r="F75">
        <v>96</v>
      </c>
      <c r="G75">
        <v>28</v>
      </c>
      <c r="H75">
        <v>2688</v>
      </c>
      <c r="I75" s="18" t="s">
        <v>512</v>
      </c>
      <c r="J75" s="18" t="s">
        <v>530</v>
      </c>
      <c r="K75" s="18" t="s">
        <v>531</v>
      </c>
      <c r="L75" s="18" t="s">
        <v>355</v>
      </c>
      <c r="M75" s="1">
        <v>46093</v>
      </c>
      <c r="N75" s="18" t="s">
        <v>34</v>
      </c>
      <c r="O75" s="18" t="s">
        <v>515</v>
      </c>
      <c r="P75" s="18" t="s">
        <v>418</v>
      </c>
      <c r="Q75" s="18" t="s">
        <v>516</v>
      </c>
      <c r="R75" s="18"/>
    </row>
    <row r="76" spans="1:18" x14ac:dyDescent="0.25">
      <c r="A76" s="1">
        <v>45849</v>
      </c>
      <c r="B76" s="18" t="s">
        <v>532</v>
      </c>
      <c r="C76" s="18" t="s">
        <v>533</v>
      </c>
      <c r="D76" s="18" t="s">
        <v>510</v>
      </c>
      <c r="E76" s="18" t="s">
        <v>534</v>
      </c>
      <c r="F76">
        <v>3</v>
      </c>
      <c r="G76">
        <v>18</v>
      </c>
      <c r="H76">
        <v>54</v>
      </c>
      <c r="I76" s="18" t="s">
        <v>512</v>
      </c>
      <c r="J76" s="18" t="s">
        <v>535</v>
      </c>
      <c r="K76" s="18" t="s">
        <v>536</v>
      </c>
      <c r="L76" s="18" t="s">
        <v>141</v>
      </c>
      <c r="M76" s="1">
        <v>46406</v>
      </c>
      <c r="N76" s="18" t="s">
        <v>34</v>
      </c>
      <c r="O76" s="18" t="s">
        <v>515</v>
      </c>
      <c r="P76" s="18" t="s">
        <v>418</v>
      </c>
      <c r="Q76" s="18" t="s">
        <v>516</v>
      </c>
      <c r="R76" s="18"/>
    </row>
    <row r="77" spans="1:18" x14ac:dyDescent="0.25">
      <c r="A77" s="1">
        <v>45850</v>
      </c>
      <c r="B77" s="18" t="s">
        <v>537</v>
      </c>
      <c r="C77" s="18" t="s">
        <v>538</v>
      </c>
      <c r="D77" s="18" t="s">
        <v>510</v>
      </c>
      <c r="E77" s="18" t="s">
        <v>539</v>
      </c>
      <c r="F77">
        <v>1000</v>
      </c>
      <c r="G77">
        <v>0.14000000000000001</v>
      </c>
      <c r="H77">
        <v>14</v>
      </c>
      <c r="I77" s="18" t="s">
        <v>200</v>
      </c>
      <c r="J77" s="18" t="s">
        <v>540</v>
      </c>
      <c r="K77" s="18" t="s">
        <v>541</v>
      </c>
      <c r="L77" s="18" t="s">
        <v>147</v>
      </c>
      <c r="M77" s="1">
        <v>46105</v>
      </c>
      <c r="N77" s="18" t="s">
        <v>34</v>
      </c>
      <c r="O77" s="18" t="s">
        <v>515</v>
      </c>
      <c r="P77" s="18" t="s">
        <v>334</v>
      </c>
      <c r="Q77" s="18" t="s">
        <v>516</v>
      </c>
      <c r="R77" s="18"/>
    </row>
    <row r="78" spans="1:18" x14ac:dyDescent="0.25">
      <c r="A78" s="1">
        <v>45850</v>
      </c>
      <c r="B78" s="18" t="s">
        <v>542</v>
      </c>
      <c r="C78" s="18" t="s">
        <v>543</v>
      </c>
      <c r="D78" s="18" t="s">
        <v>544</v>
      </c>
      <c r="E78" s="18" t="s">
        <v>545</v>
      </c>
      <c r="F78">
        <v>6</v>
      </c>
      <c r="G78">
        <v>145</v>
      </c>
      <c r="H78">
        <v>870</v>
      </c>
      <c r="I78" s="18" t="s">
        <v>208</v>
      </c>
      <c r="J78" s="18" t="s">
        <v>546</v>
      </c>
      <c r="K78" s="18" t="s">
        <v>547</v>
      </c>
      <c r="L78" s="18" t="s">
        <v>153</v>
      </c>
      <c r="M78" s="1">
        <v>46707</v>
      </c>
      <c r="N78" s="18" t="s">
        <v>34</v>
      </c>
      <c r="O78" s="18" t="s">
        <v>515</v>
      </c>
      <c r="P78" s="18" t="s">
        <v>548</v>
      </c>
      <c r="Q78" s="18" t="s">
        <v>516</v>
      </c>
      <c r="R78" s="18"/>
    </row>
    <row r="79" spans="1:18" x14ac:dyDescent="0.25">
      <c r="A79" s="1">
        <v>45851</v>
      </c>
      <c r="B79" s="18" t="s">
        <v>549</v>
      </c>
      <c r="C79" s="18" t="s">
        <v>550</v>
      </c>
      <c r="D79" s="18" t="s">
        <v>544</v>
      </c>
      <c r="E79" s="18" t="s">
        <v>551</v>
      </c>
      <c r="F79">
        <v>4</v>
      </c>
      <c r="G79">
        <v>68</v>
      </c>
      <c r="H79">
        <v>272</v>
      </c>
      <c r="I79" s="18" t="s">
        <v>208</v>
      </c>
      <c r="J79" s="18" t="s">
        <v>552</v>
      </c>
      <c r="K79" s="18" t="s">
        <v>553</v>
      </c>
      <c r="L79" s="18" t="s">
        <v>161</v>
      </c>
      <c r="M79" s="1">
        <v>46145</v>
      </c>
      <c r="N79" s="18" t="s">
        <v>34</v>
      </c>
      <c r="O79" s="18" t="s">
        <v>515</v>
      </c>
      <c r="P79" s="18" t="s">
        <v>507</v>
      </c>
      <c r="Q79" s="18" t="s">
        <v>516</v>
      </c>
      <c r="R79" s="18"/>
    </row>
    <row r="80" spans="1:18" x14ac:dyDescent="0.25">
      <c r="A80" s="1">
        <v>45851</v>
      </c>
      <c r="B80" s="18" t="s">
        <v>554</v>
      </c>
      <c r="C80" s="18" t="s">
        <v>555</v>
      </c>
      <c r="D80" s="18" t="s">
        <v>544</v>
      </c>
      <c r="E80" s="18" t="s">
        <v>551</v>
      </c>
      <c r="F80">
        <v>3</v>
      </c>
      <c r="G80">
        <v>42</v>
      </c>
      <c r="H80">
        <v>126</v>
      </c>
      <c r="I80" s="18" t="s">
        <v>200</v>
      </c>
      <c r="J80" s="18" t="s">
        <v>556</v>
      </c>
      <c r="K80" s="18" t="s">
        <v>557</v>
      </c>
      <c r="L80" s="18" t="s">
        <v>167</v>
      </c>
      <c r="M80" s="1">
        <v>46373</v>
      </c>
      <c r="N80" s="18" t="s">
        <v>34</v>
      </c>
      <c r="O80" s="18" t="s">
        <v>515</v>
      </c>
      <c r="P80" s="18" t="s">
        <v>418</v>
      </c>
      <c r="Q80" s="18" t="s">
        <v>516</v>
      </c>
      <c r="R80" s="18"/>
    </row>
    <row r="81" spans="1:18" x14ac:dyDescent="0.25">
      <c r="A81" s="1">
        <v>45852</v>
      </c>
      <c r="B81" s="18" t="s">
        <v>558</v>
      </c>
      <c r="C81" s="18" t="s">
        <v>559</v>
      </c>
      <c r="D81" s="18" t="s">
        <v>544</v>
      </c>
      <c r="E81" s="18" t="s">
        <v>560</v>
      </c>
      <c r="F81">
        <v>3</v>
      </c>
      <c r="G81">
        <v>86</v>
      </c>
      <c r="H81">
        <v>258</v>
      </c>
      <c r="I81" s="18" t="s">
        <v>200</v>
      </c>
      <c r="J81" s="18" t="s">
        <v>561</v>
      </c>
      <c r="K81" s="18" t="s">
        <v>562</v>
      </c>
      <c r="L81" s="18" t="s">
        <v>173</v>
      </c>
      <c r="M81" s="1">
        <v>46107</v>
      </c>
      <c r="N81" s="18" t="s">
        <v>34</v>
      </c>
      <c r="O81" s="18" t="s">
        <v>515</v>
      </c>
      <c r="P81" s="18" t="s">
        <v>418</v>
      </c>
      <c r="Q81" s="18" t="s">
        <v>516</v>
      </c>
      <c r="R81" s="18"/>
    </row>
    <row r="82" spans="1:18" x14ac:dyDescent="0.25">
      <c r="A82" s="1">
        <v>45852</v>
      </c>
      <c r="B82" s="18" t="s">
        <v>563</v>
      </c>
      <c r="C82" s="18" t="s">
        <v>564</v>
      </c>
      <c r="D82" s="18" t="s">
        <v>544</v>
      </c>
      <c r="E82" s="18" t="s">
        <v>565</v>
      </c>
      <c r="F82">
        <v>6</v>
      </c>
      <c r="G82">
        <v>54</v>
      </c>
      <c r="H82">
        <v>324</v>
      </c>
      <c r="I82" s="18" t="s">
        <v>200</v>
      </c>
      <c r="J82" s="18" t="s">
        <v>566</v>
      </c>
      <c r="K82" s="18" t="s">
        <v>567</v>
      </c>
      <c r="L82" s="18" t="s">
        <v>179</v>
      </c>
      <c r="M82" s="1">
        <v>46207</v>
      </c>
      <c r="N82" s="18" t="s">
        <v>34</v>
      </c>
      <c r="O82" s="18" t="s">
        <v>515</v>
      </c>
      <c r="P82" s="18" t="s">
        <v>418</v>
      </c>
      <c r="Q82" s="18" t="s">
        <v>516</v>
      </c>
      <c r="R82" s="18"/>
    </row>
    <row r="83" spans="1:18" x14ac:dyDescent="0.25">
      <c r="A83" s="1">
        <v>45853</v>
      </c>
      <c r="B83" s="18" t="s">
        <v>568</v>
      </c>
      <c r="C83" s="18" t="s">
        <v>569</v>
      </c>
      <c r="D83" s="18" t="s">
        <v>544</v>
      </c>
      <c r="E83" s="18" t="s">
        <v>570</v>
      </c>
      <c r="F83">
        <v>4</v>
      </c>
      <c r="G83">
        <v>62</v>
      </c>
      <c r="H83">
        <v>248</v>
      </c>
      <c r="I83" s="18" t="s">
        <v>200</v>
      </c>
      <c r="J83" s="18" t="s">
        <v>571</v>
      </c>
      <c r="K83" s="18" t="s">
        <v>572</v>
      </c>
      <c r="L83" s="18" t="s">
        <v>186</v>
      </c>
      <c r="M83" s="1">
        <v>46235</v>
      </c>
      <c r="N83" s="18" t="s">
        <v>34</v>
      </c>
      <c r="O83" s="18" t="s">
        <v>515</v>
      </c>
      <c r="P83" s="18" t="s">
        <v>418</v>
      </c>
      <c r="Q83" s="18" t="s">
        <v>516</v>
      </c>
      <c r="R83" s="18"/>
    </row>
    <row r="84" spans="1:18" x14ac:dyDescent="0.25">
      <c r="A84" s="1">
        <v>45853</v>
      </c>
      <c r="B84" s="18" t="s">
        <v>573</v>
      </c>
      <c r="C84" s="18" t="s">
        <v>574</v>
      </c>
      <c r="D84" s="18" t="s">
        <v>575</v>
      </c>
      <c r="E84" s="18" t="s">
        <v>576</v>
      </c>
      <c r="F84">
        <v>2</v>
      </c>
      <c r="G84">
        <v>42</v>
      </c>
      <c r="H84">
        <v>84</v>
      </c>
      <c r="I84" s="18" t="s">
        <v>200</v>
      </c>
      <c r="J84" s="18" t="s">
        <v>577</v>
      </c>
      <c r="K84" s="18" t="s">
        <v>578</v>
      </c>
      <c r="L84" s="18" t="s">
        <v>275</v>
      </c>
      <c r="M84" s="1">
        <v>46604</v>
      </c>
      <c r="N84" s="18" t="s">
        <v>34</v>
      </c>
      <c r="O84" s="18" t="s">
        <v>515</v>
      </c>
      <c r="P84" s="18" t="s">
        <v>548</v>
      </c>
      <c r="Q84" s="18" t="s">
        <v>516</v>
      </c>
      <c r="R84" s="18"/>
    </row>
    <row r="85" spans="1:18" x14ac:dyDescent="0.25">
      <c r="A85" s="1">
        <v>45853</v>
      </c>
      <c r="B85" s="18" t="s">
        <v>579</v>
      </c>
      <c r="C85" s="18" t="s">
        <v>580</v>
      </c>
      <c r="D85" s="18" t="s">
        <v>575</v>
      </c>
      <c r="E85" s="18" t="s">
        <v>576</v>
      </c>
      <c r="F85">
        <v>2</v>
      </c>
      <c r="G85">
        <v>28</v>
      </c>
      <c r="H85">
        <v>56</v>
      </c>
      <c r="I85" s="18" t="s">
        <v>200</v>
      </c>
      <c r="J85" s="18" t="s">
        <v>581</v>
      </c>
      <c r="K85" s="18" t="s">
        <v>582</v>
      </c>
      <c r="L85" s="18" t="s">
        <v>147</v>
      </c>
      <c r="M85" s="1">
        <v>46214</v>
      </c>
      <c r="N85" s="18" t="s">
        <v>34</v>
      </c>
      <c r="O85" s="18" t="s">
        <v>515</v>
      </c>
      <c r="P85" s="18" t="s">
        <v>418</v>
      </c>
      <c r="Q85" s="18" t="s">
        <v>516</v>
      </c>
      <c r="R85" s="18"/>
    </row>
    <row r="86" spans="1:18" x14ac:dyDescent="0.25">
      <c r="A86" s="1">
        <v>45854</v>
      </c>
      <c r="B86" s="18" t="s">
        <v>583</v>
      </c>
      <c r="C86" s="18" t="s">
        <v>584</v>
      </c>
      <c r="D86" s="18" t="s">
        <v>575</v>
      </c>
      <c r="E86" s="18" t="s">
        <v>585</v>
      </c>
      <c r="F86">
        <v>3</v>
      </c>
      <c r="G86">
        <v>55</v>
      </c>
      <c r="H86">
        <v>165</v>
      </c>
      <c r="I86" s="18" t="s">
        <v>200</v>
      </c>
      <c r="J86" s="18" t="s">
        <v>586</v>
      </c>
      <c r="K86" s="18" t="s">
        <v>587</v>
      </c>
      <c r="L86" s="18" t="s">
        <v>79</v>
      </c>
      <c r="M86" s="1">
        <v>46415</v>
      </c>
      <c r="N86" s="18" t="s">
        <v>34</v>
      </c>
      <c r="O86" s="18" t="s">
        <v>515</v>
      </c>
      <c r="P86" s="18" t="s">
        <v>418</v>
      </c>
      <c r="Q86" s="18" t="s">
        <v>516</v>
      </c>
      <c r="R86" s="18"/>
    </row>
    <row r="87" spans="1:18" x14ac:dyDescent="0.25">
      <c r="A87" s="1">
        <v>45854</v>
      </c>
      <c r="B87" s="18" t="s">
        <v>588</v>
      </c>
      <c r="C87" s="18" t="s">
        <v>589</v>
      </c>
      <c r="D87" s="18" t="s">
        <v>575</v>
      </c>
      <c r="E87" s="18" t="s">
        <v>590</v>
      </c>
      <c r="F87">
        <v>4</v>
      </c>
      <c r="G87">
        <v>34</v>
      </c>
      <c r="H87">
        <v>136</v>
      </c>
      <c r="I87" s="18" t="s">
        <v>200</v>
      </c>
      <c r="J87" s="18" t="s">
        <v>591</v>
      </c>
      <c r="K87" s="18" t="s">
        <v>592</v>
      </c>
      <c r="L87" s="18" t="s">
        <v>355</v>
      </c>
      <c r="M87" s="1">
        <v>46696</v>
      </c>
      <c r="N87" s="18" t="s">
        <v>34</v>
      </c>
      <c r="O87" s="18" t="s">
        <v>515</v>
      </c>
      <c r="P87" s="18" t="s">
        <v>418</v>
      </c>
      <c r="Q87" s="18" t="s">
        <v>516</v>
      </c>
      <c r="R87" s="18"/>
    </row>
    <row r="88" spans="1:18" x14ac:dyDescent="0.25">
      <c r="A88" s="1">
        <v>45857</v>
      </c>
      <c r="B88" s="18" t="s">
        <v>593</v>
      </c>
      <c r="C88" s="18" t="s">
        <v>594</v>
      </c>
      <c r="D88" s="18" t="s">
        <v>544</v>
      </c>
      <c r="E88" s="18" t="s">
        <v>595</v>
      </c>
      <c r="F88">
        <v>4</v>
      </c>
      <c r="G88">
        <v>48</v>
      </c>
      <c r="H88">
        <v>192</v>
      </c>
      <c r="I88" s="18" t="s">
        <v>200</v>
      </c>
      <c r="J88" s="18" t="s">
        <v>596</v>
      </c>
      <c r="K88" s="18" t="s">
        <v>597</v>
      </c>
      <c r="L88" s="18" t="s">
        <v>65</v>
      </c>
      <c r="M88" s="1">
        <v>46241</v>
      </c>
      <c r="N88" s="18" t="s">
        <v>34</v>
      </c>
      <c r="O88" s="18" t="s">
        <v>515</v>
      </c>
      <c r="P88" s="18" t="s">
        <v>418</v>
      </c>
      <c r="Q88" s="18" t="s">
        <v>516</v>
      </c>
      <c r="R88" s="18"/>
    </row>
    <row r="89" spans="1:18" x14ac:dyDescent="0.25">
      <c r="A89" s="1">
        <v>45857</v>
      </c>
      <c r="B89" s="18" t="s">
        <v>598</v>
      </c>
      <c r="C89" s="18" t="s">
        <v>599</v>
      </c>
      <c r="D89" s="18" t="s">
        <v>600</v>
      </c>
      <c r="E89" s="18" t="s">
        <v>601</v>
      </c>
      <c r="F89">
        <v>5</v>
      </c>
      <c r="G89">
        <v>38</v>
      </c>
      <c r="H89">
        <v>190</v>
      </c>
      <c r="I89" s="18" t="s">
        <v>233</v>
      </c>
      <c r="J89" s="18" t="s">
        <v>602</v>
      </c>
      <c r="K89" s="18" t="s">
        <v>603</v>
      </c>
      <c r="L89" s="18" t="s">
        <v>287</v>
      </c>
      <c r="M89" s="1">
        <v>46707</v>
      </c>
      <c r="N89" s="18" t="s">
        <v>34</v>
      </c>
      <c r="O89" s="18" t="s">
        <v>515</v>
      </c>
      <c r="P89" s="18" t="s">
        <v>604</v>
      </c>
      <c r="Q89" s="18" t="s">
        <v>516</v>
      </c>
      <c r="R89" s="18"/>
    </row>
    <row r="90" spans="1:18" x14ac:dyDescent="0.25">
      <c r="A90" s="1">
        <v>45870</v>
      </c>
      <c r="B90" s="18" t="s">
        <v>605</v>
      </c>
      <c r="C90" s="18" t="s">
        <v>606</v>
      </c>
      <c r="D90" s="18" t="s">
        <v>600</v>
      </c>
      <c r="E90" s="18" t="s">
        <v>607</v>
      </c>
      <c r="F90">
        <v>5</v>
      </c>
      <c r="G90">
        <v>22</v>
      </c>
      <c r="H90">
        <v>110</v>
      </c>
      <c r="I90" s="18" t="s">
        <v>233</v>
      </c>
      <c r="J90" s="18" t="s">
        <v>608</v>
      </c>
      <c r="K90" s="18" t="s">
        <v>609</v>
      </c>
      <c r="L90" s="18" t="s">
        <v>105</v>
      </c>
      <c r="M90" s="1">
        <v>46145</v>
      </c>
      <c r="N90" s="18" t="s">
        <v>34</v>
      </c>
      <c r="O90" s="18" t="s">
        <v>515</v>
      </c>
      <c r="P90" s="18" t="s">
        <v>610</v>
      </c>
      <c r="Q90" s="18" t="s">
        <v>516</v>
      </c>
      <c r="R90" s="18"/>
    </row>
    <row r="91" spans="1:18" x14ac:dyDescent="0.25">
      <c r="A91" s="1">
        <v>45870</v>
      </c>
      <c r="B91" s="18" t="s">
        <v>611</v>
      </c>
      <c r="C91" s="18" t="s">
        <v>612</v>
      </c>
      <c r="D91" s="18" t="s">
        <v>503</v>
      </c>
      <c r="E91" s="18" t="s">
        <v>613</v>
      </c>
      <c r="F91">
        <v>9</v>
      </c>
      <c r="G91">
        <v>14</v>
      </c>
      <c r="H91">
        <v>126</v>
      </c>
      <c r="I91" s="18" t="s">
        <v>399</v>
      </c>
      <c r="J91" s="18" t="s">
        <v>614</v>
      </c>
      <c r="K91" s="18" t="s">
        <v>615</v>
      </c>
      <c r="L91" s="18" t="s">
        <v>211</v>
      </c>
      <c r="M91" s="1">
        <v>46373</v>
      </c>
      <c r="N91" s="18" t="s">
        <v>34</v>
      </c>
      <c r="O91" s="18" t="s">
        <v>515</v>
      </c>
      <c r="P91" s="18" t="s">
        <v>418</v>
      </c>
      <c r="Q91" s="18" t="s">
        <v>516</v>
      </c>
      <c r="R91" s="18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2A1A4-9554-4DC1-8E9B-A2B84402EAE6}">
  <sheetPr codeName="Sheet4"/>
  <dimension ref="A1:D91"/>
  <sheetViews>
    <sheetView workbookViewId="0">
      <selection activeCell="D5" sqref="D5"/>
    </sheetView>
  </sheetViews>
  <sheetFormatPr defaultRowHeight="15" x14ac:dyDescent="0.25"/>
  <cols>
    <col min="1" max="1" width="20" bestFit="1" customWidth="1"/>
    <col min="2" max="2" width="22.7109375" bestFit="1" customWidth="1"/>
    <col min="3" max="3" width="22.140625" bestFit="1" customWidth="1"/>
    <col min="4" max="4" width="23" bestFit="1" customWidth="1"/>
    <col min="5" max="5" width="10.140625" bestFit="1" customWidth="1"/>
    <col min="6" max="6" width="6.5703125" bestFit="1" customWidth="1"/>
    <col min="7" max="7" width="50.140625" bestFit="1" customWidth="1"/>
    <col min="8" max="8" width="10.42578125" bestFit="1" customWidth="1"/>
    <col min="9" max="9" width="14.42578125" bestFit="1" customWidth="1"/>
    <col min="10" max="10" width="19.7109375" bestFit="1" customWidth="1"/>
    <col min="11" max="11" width="10.85546875" bestFit="1" customWidth="1"/>
    <col min="12" max="12" width="11.42578125" bestFit="1" customWidth="1"/>
    <col min="13" max="13" width="9" bestFit="1" customWidth="1"/>
    <col min="14" max="14" width="12.5703125" bestFit="1" customWidth="1"/>
    <col min="15" max="15" width="27.85546875" bestFit="1" customWidth="1"/>
    <col min="16" max="16" width="12.7109375" bestFit="1" customWidth="1"/>
    <col min="17" max="17" width="15.85546875" bestFit="1" customWidth="1"/>
    <col min="18" max="18" width="14" bestFit="1" customWidth="1"/>
    <col min="19" max="19" width="10.42578125" bestFit="1" customWidth="1"/>
    <col min="20" max="20" width="20.5703125" bestFit="1" customWidth="1"/>
    <col min="21" max="21" width="13.85546875" bestFit="1" customWidth="1"/>
    <col min="22" max="22" width="35.85546875" bestFit="1" customWidth="1"/>
  </cols>
  <sheetData>
    <row r="1" spans="1:4" x14ac:dyDescent="0.25">
      <c r="A1" t="s">
        <v>16</v>
      </c>
      <c r="B1" t="s">
        <v>17</v>
      </c>
      <c r="C1" t="s">
        <v>35</v>
      </c>
      <c r="D1" t="s">
        <v>14</v>
      </c>
    </row>
    <row r="2" spans="1:4" x14ac:dyDescent="0.25">
      <c r="A2" s="1">
        <v>45658</v>
      </c>
      <c r="B2">
        <v>144.72</v>
      </c>
      <c r="C2" s="18" t="s">
        <v>47</v>
      </c>
      <c r="D2" s="18" t="s">
        <v>48</v>
      </c>
    </row>
    <row r="3" spans="1:4" x14ac:dyDescent="0.25">
      <c r="A3" s="1">
        <v>45673</v>
      </c>
      <c r="B3">
        <v>345.6</v>
      </c>
      <c r="C3" s="18" t="s">
        <v>47</v>
      </c>
      <c r="D3" s="18" t="s">
        <v>56</v>
      </c>
    </row>
    <row r="4" spans="1:4" x14ac:dyDescent="0.25">
      <c r="A4" s="1">
        <v>45674</v>
      </c>
      <c r="B4">
        <v>263.08</v>
      </c>
      <c r="C4" s="18" t="s">
        <v>62</v>
      </c>
      <c r="D4" s="18" t="s">
        <v>63</v>
      </c>
    </row>
    <row r="5" spans="1:4" x14ac:dyDescent="0.25">
      <c r="A5" s="1">
        <v>45678</v>
      </c>
      <c r="B5">
        <v>10.96</v>
      </c>
      <c r="C5" s="18" t="s">
        <v>62</v>
      </c>
      <c r="D5" s="18" t="s">
        <v>70</v>
      </c>
    </row>
    <row r="6" spans="1:4" x14ac:dyDescent="0.25">
      <c r="A6" s="1">
        <v>45681</v>
      </c>
      <c r="B6">
        <v>131.37</v>
      </c>
      <c r="C6" s="18" t="s">
        <v>76</v>
      </c>
      <c r="D6" s="18" t="s">
        <v>77</v>
      </c>
    </row>
    <row r="7" spans="1:4" x14ac:dyDescent="0.25">
      <c r="A7" s="1">
        <v>45682</v>
      </c>
      <c r="B7">
        <v>1327.2</v>
      </c>
      <c r="C7" s="18" t="s">
        <v>47</v>
      </c>
      <c r="D7" s="18" t="s">
        <v>82</v>
      </c>
    </row>
    <row r="8" spans="1:4" x14ac:dyDescent="0.25">
      <c r="A8" s="1">
        <v>45683</v>
      </c>
      <c r="B8">
        <v>25617.15</v>
      </c>
      <c r="C8" s="18" t="s">
        <v>62</v>
      </c>
      <c r="D8" s="18" t="s">
        <v>88</v>
      </c>
    </row>
    <row r="9" spans="1:4" x14ac:dyDescent="0.25">
      <c r="A9" s="1">
        <v>45686</v>
      </c>
      <c r="B9">
        <v>639</v>
      </c>
      <c r="C9" s="18" t="s">
        <v>76</v>
      </c>
      <c r="D9" s="18" t="s">
        <v>94</v>
      </c>
    </row>
    <row r="10" spans="1:4" x14ac:dyDescent="0.25">
      <c r="A10" s="1">
        <v>45687</v>
      </c>
      <c r="B10">
        <v>334.65000000000003</v>
      </c>
      <c r="C10" s="18" t="s">
        <v>102</v>
      </c>
      <c r="D10" s="18" t="s">
        <v>103</v>
      </c>
    </row>
    <row r="11" spans="1:4" x14ac:dyDescent="0.25">
      <c r="A11" s="1">
        <v>45699</v>
      </c>
      <c r="B11">
        <v>50.22</v>
      </c>
      <c r="C11" s="18" t="s">
        <v>102</v>
      </c>
      <c r="D11" s="18" t="s">
        <v>110</v>
      </c>
    </row>
    <row r="12" spans="1:4" x14ac:dyDescent="0.25">
      <c r="A12" s="1">
        <v>45703</v>
      </c>
      <c r="B12">
        <v>1137.8100000000002</v>
      </c>
      <c r="C12" s="18" t="s">
        <v>102</v>
      </c>
      <c r="D12" s="18" t="s">
        <v>116</v>
      </c>
    </row>
    <row r="13" spans="1:4" x14ac:dyDescent="0.25">
      <c r="A13" s="1">
        <v>45706</v>
      </c>
      <c r="B13">
        <v>1534.5</v>
      </c>
      <c r="C13" s="18" t="s">
        <v>102</v>
      </c>
      <c r="D13" s="18" t="s">
        <v>123</v>
      </c>
    </row>
    <row r="14" spans="1:4" x14ac:dyDescent="0.25">
      <c r="A14" s="1">
        <v>45707</v>
      </c>
      <c r="B14">
        <v>96</v>
      </c>
      <c r="C14" s="18" t="s">
        <v>102</v>
      </c>
      <c r="D14" s="18" t="s">
        <v>130</v>
      </c>
    </row>
    <row r="15" spans="1:4" x14ac:dyDescent="0.25">
      <c r="A15" s="1">
        <v>45712</v>
      </c>
      <c r="B15">
        <v>4885.8900000000003</v>
      </c>
      <c r="C15" s="18" t="s">
        <v>138</v>
      </c>
      <c r="D15" s="18" t="s">
        <v>139</v>
      </c>
    </row>
    <row r="16" spans="1:4" x14ac:dyDescent="0.25">
      <c r="A16" s="1">
        <v>45714</v>
      </c>
      <c r="B16">
        <v>16.740000000000002</v>
      </c>
      <c r="C16" s="18" t="s">
        <v>138</v>
      </c>
      <c r="D16" s="18" t="s">
        <v>145</v>
      </c>
    </row>
    <row r="17" spans="1:4" x14ac:dyDescent="0.25">
      <c r="A17" s="1">
        <v>45714</v>
      </c>
      <c r="B17">
        <v>46.53</v>
      </c>
      <c r="C17" s="18" t="s">
        <v>138</v>
      </c>
      <c r="D17" s="18" t="s">
        <v>151</v>
      </c>
    </row>
    <row r="18" spans="1:4" x14ac:dyDescent="0.25">
      <c r="A18" s="1">
        <v>45715</v>
      </c>
      <c r="B18">
        <v>906.27</v>
      </c>
      <c r="C18" s="18" t="s">
        <v>158</v>
      </c>
      <c r="D18" s="18" t="s">
        <v>159</v>
      </c>
    </row>
    <row r="19" spans="1:4" x14ac:dyDescent="0.25">
      <c r="A19" s="1">
        <v>45716</v>
      </c>
      <c r="B19">
        <v>163.32</v>
      </c>
      <c r="C19" s="18" t="s">
        <v>138</v>
      </c>
      <c r="D19" s="18" t="s">
        <v>165</v>
      </c>
    </row>
    <row r="20" spans="1:4" x14ac:dyDescent="0.25">
      <c r="A20" s="1">
        <v>45719</v>
      </c>
      <c r="B20">
        <v>90.6</v>
      </c>
      <c r="C20" s="18" t="s">
        <v>138</v>
      </c>
      <c r="D20" s="18" t="s">
        <v>171</v>
      </c>
    </row>
    <row r="21" spans="1:4" x14ac:dyDescent="0.25">
      <c r="A21" s="1">
        <v>45720</v>
      </c>
      <c r="B21">
        <v>0.06</v>
      </c>
      <c r="C21" s="18" t="s">
        <v>138</v>
      </c>
      <c r="D21" s="18" t="s">
        <v>177</v>
      </c>
    </row>
    <row r="22" spans="1:4" x14ac:dyDescent="0.25">
      <c r="A22" s="1">
        <v>45721</v>
      </c>
      <c r="B22">
        <v>1452.96</v>
      </c>
      <c r="C22" s="18" t="s">
        <v>138</v>
      </c>
      <c r="D22" s="18" t="s">
        <v>184</v>
      </c>
    </row>
    <row r="23" spans="1:4" x14ac:dyDescent="0.25">
      <c r="A23" s="1">
        <v>45727</v>
      </c>
      <c r="B23">
        <v>6.3000000000000007</v>
      </c>
      <c r="C23" s="18" t="s">
        <v>191</v>
      </c>
      <c r="D23" s="18" t="s">
        <v>192</v>
      </c>
    </row>
    <row r="24" spans="1:4" x14ac:dyDescent="0.25">
      <c r="A24" s="1">
        <v>45729</v>
      </c>
      <c r="B24">
        <v>36.119999999999997</v>
      </c>
      <c r="C24" s="18" t="s">
        <v>200</v>
      </c>
      <c r="D24" s="18" t="s">
        <v>201</v>
      </c>
    </row>
    <row r="25" spans="1:4" x14ac:dyDescent="0.25">
      <c r="A25" s="1">
        <v>45733</v>
      </c>
      <c r="B25">
        <v>962.6400000000001</v>
      </c>
      <c r="C25" s="18" t="s">
        <v>208</v>
      </c>
      <c r="D25" s="18" t="s">
        <v>209</v>
      </c>
    </row>
    <row r="26" spans="1:4" x14ac:dyDescent="0.25">
      <c r="A26" s="1">
        <v>45734</v>
      </c>
      <c r="B26">
        <v>30</v>
      </c>
      <c r="C26" s="18" t="s">
        <v>208</v>
      </c>
      <c r="D26" s="18" t="s">
        <v>215</v>
      </c>
    </row>
    <row r="27" spans="1:4" x14ac:dyDescent="0.25">
      <c r="A27" s="1">
        <v>45738</v>
      </c>
      <c r="B27">
        <v>930.54</v>
      </c>
      <c r="C27" s="18" t="s">
        <v>208</v>
      </c>
      <c r="D27" s="18" t="s">
        <v>222</v>
      </c>
    </row>
    <row r="28" spans="1:4" x14ac:dyDescent="0.25">
      <c r="A28" s="1">
        <v>45741</v>
      </c>
      <c r="B28">
        <v>122.43</v>
      </c>
      <c r="C28" s="18" t="s">
        <v>200</v>
      </c>
      <c r="D28" s="18" t="s">
        <v>228</v>
      </c>
    </row>
    <row r="29" spans="1:4" x14ac:dyDescent="0.25">
      <c r="A29" s="1">
        <v>45742</v>
      </c>
      <c r="B29">
        <v>27.1</v>
      </c>
      <c r="C29" s="18" t="s">
        <v>233</v>
      </c>
      <c r="D29" s="18" t="s">
        <v>234</v>
      </c>
    </row>
    <row r="30" spans="1:4" x14ac:dyDescent="0.25">
      <c r="A30" s="1">
        <v>45744</v>
      </c>
      <c r="B30">
        <v>10.02</v>
      </c>
      <c r="C30" s="18" t="s">
        <v>200</v>
      </c>
      <c r="D30" s="18" t="s">
        <v>241</v>
      </c>
    </row>
    <row r="31" spans="1:4" x14ac:dyDescent="0.25">
      <c r="A31" s="1">
        <v>45748</v>
      </c>
      <c r="B31">
        <v>291.16000000000003</v>
      </c>
      <c r="C31" s="18" t="s">
        <v>138</v>
      </c>
      <c r="D31" s="18" t="s">
        <v>249</v>
      </c>
    </row>
    <row r="32" spans="1:4" x14ac:dyDescent="0.25">
      <c r="A32" s="1">
        <v>45760</v>
      </c>
      <c r="B32">
        <v>2084.64</v>
      </c>
      <c r="C32" s="18" t="s">
        <v>76</v>
      </c>
      <c r="D32" s="18" t="s">
        <v>256</v>
      </c>
    </row>
    <row r="33" spans="1:4" x14ac:dyDescent="0.25">
      <c r="A33" s="1">
        <v>45763</v>
      </c>
      <c r="B33">
        <v>50.16</v>
      </c>
      <c r="C33" s="18" t="s">
        <v>208</v>
      </c>
      <c r="D33" s="18" t="s">
        <v>262</v>
      </c>
    </row>
    <row r="34" spans="1:4" x14ac:dyDescent="0.25">
      <c r="A34" s="1">
        <v>45766</v>
      </c>
      <c r="B34">
        <v>12.54</v>
      </c>
      <c r="C34" s="18" t="s">
        <v>208</v>
      </c>
      <c r="D34" s="18" t="s">
        <v>267</v>
      </c>
    </row>
    <row r="35" spans="1:4" x14ac:dyDescent="0.25">
      <c r="A35" s="1">
        <v>45767</v>
      </c>
      <c r="B35">
        <v>74.73</v>
      </c>
      <c r="C35" s="18" t="s">
        <v>208</v>
      </c>
      <c r="D35" s="18" t="s">
        <v>273</v>
      </c>
    </row>
    <row r="36" spans="1:4" x14ac:dyDescent="0.25">
      <c r="A36" s="1">
        <v>45775</v>
      </c>
      <c r="B36">
        <v>81.300000000000011</v>
      </c>
      <c r="C36" s="18" t="s">
        <v>208</v>
      </c>
      <c r="D36" s="18" t="s">
        <v>279</v>
      </c>
    </row>
    <row r="37" spans="1:4" x14ac:dyDescent="0.25">
      <c r="A37" s="1">
        <v>45777</v>
      </c>
      <c r="B37">
        <v>9.75</v>
      </c>
      <c r="C37" s="18" t="s">
        <v>208</v>
      </c>
      <c r="D37" s="18" t="s">
        <v>285</v>
      </c>
    </row>
    <row r="38" spans="1:4" x14ac:dyDescent="0.25">
      <c r="A38" s="1">
        <v>45779</v>
      </c>
      <c r="B38">
        <v>4202</v>
      </c>
      <c r="C38" s="18" t="s">
        <v>200</v>
      </c>
      <c r="D38" s="18" t="s">
        <v>291</v>
      </c>
    </row>
    <row r="39" spans="1:4" x14ac:dyDescent="0.25">
      <c r="A39" s="1">
        <v>45779</v>
      </c>
      <c r="B39">
        <v>11030.25</v>
      </c>
      <c r="C39" s="18" t="s">
        <v>102</v>
      </c>
      <c r="D39" s="18" t="s">
        <v>298</v>
      </c>
    </row>
    <row r="40" spans="1:4" x14ac:dyDescent="0.25">
      <c r="A40" s="1">
        <v>45790</v>
      </c>
      <c r="B40">
        <v>5088</v>
      </c>
      <c r="C40" s="18" t="s">
        <v>233</v>
      </c>
      <c r="D40" s="18" t="s">
        <v>305</v>
      </c>
    </row>
    <row r="41" spans="1:4" x14ac:dyDescent="0.25">
      <c r="A41" s="1">
        <v>45793</v>
      </c>
      <c r="B41">
        <v>2645.76</v>
      </c>
      <c r="C41" s="18" t="s">
        <v>233</v>
      </c>
      <c r="D41" s="18" t="s">
        <v>312</v>
      </c>
    </row>
    <row r="42" spans="1:4" x14ac:dyDescent="0.25">
      <c r="A42" s="1">
        <v>45794</v>
      </c>
      <c r="B42">
        <v>135.66</v>
      </c>
      <c r="C42" s="18" t="s">
        <v>233</v>
      </c>
      <c r="D42" s="18" t="s">
        <v>318</v>
      </c>
    </row>
    <row r="43" spans="1:4" x14ac:dyDescent="0.25">
      <c r="A43" s="1">
        <v>45796</v>
      </c>
      <c r="B43">
        <v>140883.48000000001</v>
      </c>
      <c r="C43" s="18" t="s">
        <v>233</v>
      </c>
      <c r="D43" s="18" t="s">
        <v>325</v>
      </c>
    </row>
    <row r="44" spans="1:4" x14ac:dyDescent="0.25">
      <c r="A44" s="1">
        <v>45796</v>
      </c>
      <c r="B44">
        <v>6605.52</v>
      </c>
      <c r="C44" s="18" t="s">
        <v>76</v>
      </c>
      <c r="D44" s="18" t="s">
        <v>331</v>
      </c>
    </row>
    <row r="45" spans="1:4" x14ac:dyDescent="0.25">
      <c r="A45" s="1">
        <v>45808</v>
      </c>
      <c r="B45">
        <v>6939.36</v>
      </c>
      <c r="C45" s="18" t="s">
        <v>233</v>
      </c>
      <c r="D45" s="18" t="s">
        <v>338</v>
      </c>
    </row>
    <row r="46" spans="1:4" x14ac:dyDescent="0.25">
      <c r="A46" s="1">
        <v>45811</v>
      </c>
      <c r="B46">
        <v>1011.99</v>
      </c>
      <c r="C46" s="18" t="s">
        <v>233</v>
      </c>
      <c r="D46" s="18" t="s">
        <v>344</v>
      </c>
    </row>
    <row r="47" spans="1:4" x14ac:dyDescent="0.25">
      <c r="A47" s="1">
        <v>45818</v>
      </c>
      <c r="B47">
        <v>984.5</v>
      </c>
      <c r="C47" s="18" t="s">
        <v>352</v>
      </c>
      <c r="D47" s="18" t="s">
        <v>353</v>
      </c>
    </row>
    <row r="48" spans="1:4" x14ac:dyDescent="0.25">
      <c r="A48" s="1">
        <v>45820</v>
      </c>
      <c r="B48">
        <v>3744</v>
      </c>
      <c r="C48" s="18" t="s">
        <v>352</v>
      </c>
      <c r="D48" s="18" t="s">
        <v>362</v>
      </c>
    </row>
    <row r="49" spans="1:4" x14ac:dyDescent="0.25">
      <c r="A49" s="1">
        <v>45825</v>
      </c>
      <c r="B49">
        <v>14336</v>
      </c>
      <c r="C49" s="18" t="s">
        <v>352</v>
      </c>
      <c r="D49" s="18" t="s">
        <v>369</v>
      </c>
    </row>
    <row r="50" spans="1:4" x14ac:dyDescent="0.25">
      <c r="A50" s="1">
        <v>45825</v>
      </c>
      <c r="B50">
        <v>96</v>
      </c>
      <c r="C50" s="18" t="s">
        <v>352</v>
      </c>
      <c r="D50" s="18" t="s">
        <v>376</v>
      </c>
    </row>
    <row r="51" spans="1:4" x14ac:dyDescent="0.25">
      <c r="A51" s="1">
        <v>45832</v>
      </c>
      <c r="B51">
        <v>108</v>
      </c>
      <c r="C51" s="18" t="s">
        <v>384</v>
      </c>
      <c r="D51" s="18" t="s">
        <v>385</v>
      </c>
    </row>
    <row r="52" spans="1:4" x14ac:dyDescent="0.25">
      <c r="A52" s="1">
        <v>45833</v>
      </c>
      <c r="B52">
        <v>360</v>
      </c>
      <c r="C52" s="18" t="s">
        <v>384</v>
      </c>
      <c r="D52" s="18" t="s">
        <v>392</v>
      </c>
    </row>
    <row r="53" spans="1:4" x14ac:dyDescent="0.25">
      <c r="A53" s="1">
        <v>45834</v>
      </c>
      <c r="B53">
        <v>620</v>
      </c>
      <c r="C53" s="18" t="s">
        <v>399</v>
      </c>
      <c r="D53" s="18" t="s">
        <v>400</v>
      </c>
    </row>
    <row r="54" spans="1:4" x14ac:dyDescent="0.25">
      <c r="A54" s="1">
        <v>45837</v>
      </c>
      <c r="B54">
        <v>240</v>
      </c>
      <c r="C54" s="18" t="s">
        <v>399</v>
      </c>
      <c r="D54" s="18" t="s">
        <v>405</v>
      </c>
    </row>
    <row r="55" spans="1:4" x14ac:dyDescent="0.25">
      <c r="A55" s="1">
        <v>45837</v>
      </c>
      <c r="B55">
        <v>360</v>
      </c>
      <c r="C55" s="18" t="s">
        <v>399</v>
      </c>
      <c r="D55" s="18" t="s">
        <v>411</v>
      </c>
    </row>
    <row r="56" spans="1:4" x14ac:dyDescent="0.25">
      <c r="A56" s="1">
        <v>45837</v>
      </c>
      <c r="B56">
        <v>1152</v>
      </c>
      <c r="C56" s="18" t="s">
        <v>399</v>
      </c>
      <c r="D56" s="18" t="s">
        <v>416</v>
      </c>
    </row>
    <row r="57" spans="1:4" x14ac:dyDescent="0.25">
      <c r="A57" s="1">
        <v>45838</v>
      </c>
      <c r="B57">
        <v>333.5</v>
      </c>
      <c r="C57" s="18" t="s">
        <v>423</v>
      </c>
      <c r="D57" s="18" t="s">
        <v>424</v>
      </c>
    </row>
    <row r="58" spans="1:4" x14ac:dyDescent="0.25">
      <c r="A58" s="1">
        <v>45838</v>
      </c>
      <c r="B58">
        <v>855.5</v>
      </c>
      <c r="C58" s="18" t="s">
        <v>423</v>
      </c>
      <c r="D58" s="18" t="s">
        <v>429</v>
      </c>
    </row>
    <row r="59" spans="1:4" x14ac:dyDescent="0.25">
      <c r="A59" s="1">
        <v>45838</v>
      </c>
      <c r="B59">
        <v>5600</v>
      </c>
      <c r="C59" s="18" t="s">
        <v>423</v>
      </c>
      <c r="D59" s="18" t="s">
        <v>434</v>
      </c>
    </row>
    <row r="60" spans="1:4" x14ac:dyDescent="0.25">
      <c r="A60" s="1">
        <v>45839</v>
      </c>
      <c r="B60">
        <v>1740</v>
      </c>
      <c r="C60" s="18" t="s">
        <v>423</v>
      </c>
      <c r="D60" s="18" t="s">
        <v>439</v>
      </c>
    </row>
    <row r="61" spans="1:4" x14ac:dyDescent="0.25">
      <c r="A61" s="1">
        <v>45839</v>
      </c>
      <c r="B61">
        <v>576</v>
      </c>
      <c r="C61" s="18" t="s">
        <v>384</v>
      </c>
      <c r="D61" s="18" t="s">
        <v>446</v>
      </c>
    </row>
    <row r="62" spans="1:4" x14ac:dyDescent="0.25">
      <c r="A62" s="1">
        <v>45841</v>
      </c>
      <c r="B62">
        <v>1152</v>
      </c>
      <c r="C62" s="18" t="s">
        <v>138</v>
      </c>
      <c r="D62" s="18" t="s">
        <v>452</v>
      </c>
    </row>
    <row r="63" spans="1:4" x14ac:dyDescent="0.25">
      <c r="A63" s="1">
        <v>45841</v>
      </c>
      <c r="B63">
        <v>1404</v>
      </c>
      <c r="C63" s="18" t="s">
        <v>138</v>
      </c>
      <c r="D63" s="18" t="s">
        <v>457</v>
      </c>
    </row>
    <row r="64" spans="1:4" x14ac:dyDescent="0.25">
      <c r="A64" s="1">
        <v>45843</v>
      </c>
      <c r="B64">
        <v>320</v>
      </c>
      <c r="C64" s="18" t="s">
        <v>138</v>
      </c>
      <c r="D64" s="18" t="s">
        <v>463</v>
      </c>
    </row>
    <row r="65" spans="1:4" x14ac:dyDescent="0.25">
      <c r="A65" s="1">
        <v>45843</v>
      </c>
      <c r="B65">
        <v>990</v>
      </c>
      <c r="C65" s="18" t="s">
        <v>138</v>
      </c>
      <c r="D65" s="18" t="s">
        <v>469</v>
      </c>
    </row>
    <row r="66" spans="1:4" x14ac:dyDescent="0.25">
      <c r="A66" s="1">
        <v>45846</v>
      </c>
      <c r="B66">
        <v>936</v>
      </c>
      <c r="C66" s="18" t="s">
        <v>76</v>
      </c>
      <c r="D66" s="18" t="s">
        <v>476</v>
      </c>
    </row>
    <row r="67" spans="1:4" x14ac:dyDescent="0.25">
      <c r="A67" s="1">
        <v>45846</v>
      </c>
      <c r="B67">
        <v>7192</v>
      </c>
      <c r="C67" s="18" t="s">
        <v>138</v>
      </c>
      <c r="D67" s="18" t="s">
        <v>482</v>
      </c>
    </row>
    <row r="68" spans="1:4" x14ac:dyDescent="0.25">
      <c r="A68" s="1">
        <v>45847</v>
      </c>
      <c r="B68">
        <v>13464</v>
      </c>
      <c r="C68" s="18" t="s">
        <v>352</v>
      </c>
      <c r="D68" s="18" t="s">
        <v>488</v>
      </c>
    </row>
    <row r="69" spans="1:4" x14ac:dyDescent="0.25">
      <c r="A69" s="1">
        <v>45847</v>
      </c>
      <c r="B69">
        <v>13656</v>
      </c>
      <c r="C69" s="18" t="s">
        <v>352</v>
      </c>
      <c r="D69" s="18" t="s">
        <v>494</v>
      </c>
    </row>
    <row r="70" spans="1:4" x14ac:dyDescent="0.25">
      <c r="A70" s="1">
        <v>45847</v>
      </c>
      <c r="B70">
        <v>280</v>
      </c>
      <c r="C70" s="18" t="s">
        <v>399</v>
      </c>
      <c r="D70" s="18" t="s">
        <v>499</v>
      </c>
    </row>
    <row r="71" spans="1:4" x14ac:dyDescent="0.25">
      <c r="A71" s="1">
        <v>45847</v>
      </c>
      <c r="B71">
        <v>510</v>
      </c>
      <c r="C71" s="18" t="s">
        <v>423</v>
      </c>
      <c r="D71" s="18" t="s">
        <v>505</v>
      </c>
    </row>
    <row r="72" spans="1:4" x14ac:dyDescent="0.25">
      <c r="A72" s="1">
        <v>45848</v>
      </c>
      <c r="B72">
        <v>3696</v>
      </c>
      <c r="C72" s="18" t="s">
        <v>512</v>
      </c>
      <c r="D72" s="18" t="s">
        <v>513</v>
      </c>
    </row>
    <row r="73" spans="1:4" x14ac:dyDescent="0.25">
      <c r="A73" s="1">
        <v>45848</v>
      </c>
      <c r="B73">
        <v>810</v>
      </c>
      <c r="C73" s="18" t="s">
        <v>512</v>
      </c>
      <c r="D73" s="18" t="s">
        <v>520</v>
      </c>
    </row>
    <row r="74" spans="1:4" x14ac:dyDescent="0.25">
      <c r="A74" s="1">
        <v>45849</v>
      </c>
      <c r="B74">
        <v>1848</v>
      </c>
      <c r="C74" s="18" t="s">
        <v>512</v>
      </c>
      <c r="D74" s="18" t="s">
        <v>525</v>
      </c>
    </row>
    <row r="75" spans="1:4" x14ac:dyDescent="0.25">
      <c r="A75" s="1">
        <v>45849</v>
      </c>
      <c r="B75">
        <v>2688</v>
      </c>
      <c r="C75" s="18" t="s">
        <v>512</v>
      </c>
      <c r="D75" s="18" t="s">
        <v>530</v>
      </c>
    </row>
    <row r="76" spans="1:4" x14ac:dyDescent="0.25">
      <c r="A76" s="1">
        <v>45849</v>
      </c>
      <c r="B76">
        <v>54</v>
      </c>
      <c r="C76" s="18" t="s">
        <v>512</v>
      </c>
      <c r="D76" s="18" t="s">
        <v>535</v>
      </c>
    </row>
    <row r="77" spans="1:4" x14ac:dyDescent="0.25">
      <c r="A77" s="1">
        <v>45850</v>
      </c>
      <c r="B77">
        <v>14</v>
      </c>
      <c r="C77" s="18" t="s">
        <v>200</v>
      </c>
      <c r="D77" s="18" t="s">
        <v>540</v>
      </c>
    </row>
    <row r="78" spans="1:4" x14ac:dyDescent="0.25">
      <c r="A78" s="1">
        <v>45850</v>
      </c>
      <c r="B78">
        <v>870</v>
      </c>
      <c r="C78" s="18" t="s">
        <v>208</v>
      </c>
      <c r="D78" s="18" t="s">
        <v>546</v>
      </c>
    </row>
    <row r="79" spans="1:4" x14ac:dyDescent="0.25">
      <c r="A79" s="1">
        <v>45851</v>
      </c>
      <c r="B79">
        <v>272</v>
      </c>
      <c r="C79" s="18" t="s">
        <v>208</v>
      </c>
      <c r="D79" s="18" t="s">
        <v>552</v>
      </c>
    </row>
    <row r="80" spans="1:4" x14ac:dyDescent="0.25">
      <c r="A80" s="1">
        <v>45851</v>
      </c>
      <c r="B80">
        <v>126</v>
      </c>
      <c r="C80" s="18" t="s">
        <v>200</v>
      </c>
      <c r="D80" s="18" t="s">
        <v>556</v>
      </c>
    </row>
    <row r="81" spans="1:4" x14ac:dyDescent="0.25">
      <c r="A81" s="1">
        <v>45852</v>
      </c>
      <c r="B81">
        <v>258</v>
      </c>
      <c r="C81" s="18" t="s">
        <v>200</v>
      </c>
      <c r="D81" s="18" t="s">
        <v>561</v>
      </c>
    </row>
    <row r="82" spans="1:4" x14ac:dyDescent="0.25">
      <c r="A82" s="1">
        <v>45852</v>
      </c>
      <c r="B82">
        <v>324</v>
      </c>
      <c r="C82" s="18" t="s">
        <v>200</v>
      </c>
      <c r="D82" s="18" t="s">
        <v>566</v>
      </c>
    </row>
    <row r="83" spans="1:4" x14ac:dyDescent="0.25">
      <c r="A83" s="1">
        <v>45853</v>
      </c>
      <c r="B83">
        <v>248</v>
      </c>
      <c r="C83" s="18" t="s">
        <v>200</v>
      </c>
      <c r="D83" s="18" t="s">
        <v>571</v>
      </c>
    </row>
    <row r="84" spans="1:4" x14ac:dyDescent="0.25">
      <c r="A84" s="1">
        <v>45853</v>
      </c>
      <c r="B84">
        <v>84</v>
      </c>
      <c r="C84" s="18" t="s">
        <v>200</v>
      </c>
      <c r="D84" s="18" t="s">
        <v>577</v>
      </c>
    </row>
    <row r="85" spans="1:4" x14ac:dyDescent="0.25">
      <c r="A85" s="1">
        <v>45853</v>
      </c>
      <c r="B85">
        <v>56</v>
      </c>
      <c r="C85" s="18" t="s">
        <v>200</v>
      </c>
      <c r="D85" s="18" t="s">
        <v>581</v>
      </c>
    </row>
    <row r="86" spans="1:4" x14ac:dyDescent="0.25">
      <c r="A86" s="1">
        <v>45854</v>
      </c>
      <c r="B86">
        <v>165</v>
      </c>
      <c r="C86" s="18" t="s">
        <v>200</v>
      </c>
      <c r="D86" s="18" t="s">
        <v>586</v>
      </c>
    </row>
    <row r="87" spans="1:4" x14ac:dyDescent="0.25">
      <c r="A87" s="1">
        <v>45854</v>
      </c>
      <c r="B87">
        <v>136</v>
      </c>
      <c r="C87" s="18" t="s">
        <v>200</v>
      </c>
      <c r="D87" s="18" t="s">
        <v>591</v>
      </c>
    </row>
    <row r="88" spans="1:4" x14ac:dyDescent="0.25">
      <c r="A88" s="1">
        <v>45857</v>
      </c>
      <c r="B88">
        <v>192</v>
      </c>
      <c r="C88" s="18" t="s">
        <v>200</v>
      </c>
      <c r="D88" s="18" t="s">
        <v>596</v>
      </c>
    </row>
    <row r="89" spans="1:4" x14ac:dyDescent="0.25">
      <c r="A89" s="1">
        <v>45857</v>
      </c>
      <c r="B89">
        <v>190</v>
      </c>
      <c r="C89" s="18" t="s">
        <v>233</v>
      </c>
      <c r="D89" s="18" t="s">
        <v>602</v>
      </c>
    </row>
    <row r="90" spans="1:4" x14ac:dyDescent="0.25">
      <c r="A90" s="1">
        <v>45870</v>
      </c>
      <c r="B90">
        <v>110</v>
      </c>
      <c r="C90" s="18" t="s">
        <v>233</v>
      </c>
      <c r="D90" s="18" t="s">
        <v>608</v>
      </c>
    </row>
    <row r="91" spans="1:4" x14ac:dyDescent="0.25">
      <c r="A91" s="1">
        <v>45870</v>
      </c>
      <c r="B91">
        <v>126</v>
      </c>
      <c r="C91" s="18" t="s">
        <v>399</v>
      </c>
      <c r="D91" s="18" t="s">
        <v>614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F8971-4A15-4C13-90B1-BA8EC38FF1A4}">
  <sheetPr codeName="Sheet2"/>
  <dimension ref="A1:C15"/>
  <sheetViews>
    <sheetView workbookViewId="0">
      <selection activeCell="A2" sqref="A2"/>
    </sheetView>
  </sheetViews>
  <sheetFormatPr defaultRowHeight="15" x14ac:dyDescent="0.25"/>
  <cols>
    <col min="1" max="1" width="20.140625" customWidth="1"/>
    <col min="2" max="2" width="13.5703125" customWidth="1"/>
    <col min="3" max="3" width="21.7109375" customWidth="1"/>
  </cols>
  <sheetData>
    <row r="1" spans="1:3" x14ac:dyDescent="0.25">
      <c r="A1" t="s">
        <v>36</v>
      </c>
      <c r="B1" t="s">
        <v>37</v>
      </c>
      <c r="C1" t="s">
        <v>38</v>
      </c>
    </row>
    <row r="2" spans="1:3" x14ac:dyDescent="0.25">
      <c r="A2" t="s">
        <v>512</v>
      </c>
      <c r="B2" t="s">
        <v>41</v>
      </c>
      <c r="C2" t="s">
        <v>42</v>
      </c>
    </row>
    <row r="3" spans="1:3" x14ac:dyDescent="0.25">
      <c r="A3" t="s">
        <v>200</v>
      </c>
      <c r="B3" t="s">
        <v>41</v>
      </c>
      <c r="C3" t="s">
        <v>42</v>
      </c>
    </row>
    <row r="4" spans="1:3" x14ac:dyDescent="0.25">
      <c r="A4" t="s">
        <v>352</v>
      </c>
      <c r="B4" t="s">
        <v>39</v>
      </c>
      <c r="C4" t="s">
        <v>40</v>
      </c>
    </row>
    <row r="5" spans="1:3" x14ac:dyDescent="0.25">
      <c r="A5" t="s">
        <v>399</v>
      </c>
      <c r="B5" t="s">
        <v>39</v>
      </c>
      <c r="C5" t="s">
        <v>40</v>
      </c>
    </row>
    <row r="6" spans="1:3" x14ac:dyDescent="0.25">
      <c r="A6" t="s">
        <v>158</v>
      </c>
      <c r="B6" t="s">
        <v>39</v>
      </c>
      <c r="C6" t="s">
        <v>40</v>
      </c>
    </row>
    <row r="7" spans="1:3" x14ac:dyDescent="0.25">
      <c r="A7" t="s">
        <v>47</v>
      </c>
      <c r="B7" t="s">
        <v>39</v>
      </c>
      <c r="C7" t="s">
        <v>40</v>
      </c>
    </row>
    <row r="8" spans="1:3" x14ac:dyDescent="0.25">
      <c r="A8" t="s">
        <v>76</v>
      </c>
      <c r="B8" t="s">
        <v>39</v>
      </c>
      <c r="C8" t="s">
        <v>40</v>
      </c>
    </row>
    <row r="9" spans="1:3" x14ac:dyDescent="0.25">
      <c r="A9" t="s">
        <v>233</v>
      </c>
      <c r="B9" t="s">
        <v>39</v>
      </c>
      <c r="C9" t="s">
        <v>40</v>
      </c>
    </row>
    <row r="10" spans="1:3" x14ac:dyDescent="0.25">
      <c r="A10" t="s">
        <v>62</v>
      </c>
      <c r="B10" t="s">
        <v>39</v>
      </c>
      <c r="C10" t="s">
        <v>40</v>
      </c>
    </row>
    <row r="11" spans="1:3" x14ac:dyDescent="0.25">
      <c r="A11" t="s">
        <v>208</v>
      </c>
      <c r="B11" t="s">
        <v>41</v>
      </c>
      <c r="C11" t="s">
        <v>42</v>
      </c>
    </row>
    <row r="12" spans="1:3" x14ac:dyDescent="0.25">
      <c r="A12" t="s">
        <v>423</v>
      </c>
      <c r="B12" t="s">
        <v>39</v>
      </c>
      <c r="C12" t="s">
        <v>40</v>
      </c>
    </row>
    <row r="13" spans="1:3" x14ac:dyDescent="0.25">
      <c r="A13" t="s">
        <v>191</v>
      </c>
      <c r="B13" t="s">
        <v>39</v>
      </c>
      <c r="C13" t="s">
        <v>40</v>
      </c>
    </row>
    <row r="14" spans="1:3" x14ac:dyDescent="0.25">
      <c r="A14" t="s">
        <v>138</v>
      </c>
      <c r="B14" t="s">
        <v>39</v>
      </c>
      <c r="C14" t="s">
        <v>40</v>
      </c>
    </row>
    <row r="15" spans="1:3" x14ac:dyDescent="0.25">
      <c r="A15" t="s">
        <v>384</v>
      </c>
      <c r="B15" t="s">
        <v>39</v>
      </c>
      <c r="C15" t="s">
        <v>40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9AAD97-F4A3-4267-97E9-CC38759FF6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 Log</vt:lpstr>
      <vt:lpstr>Inventory Inflow</vt:lpstr>
      <vt:lpstr>Inventory_AP_Match</vt:lpstr>
      <vt:lpstr>Vendor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Shaniah Edwards</dc:creator>
  <cp:keywords/>
  <dc:description/>
  <cp:lastModifiedBy>Shaniah Edwards</cp:lastModifiedBy>
  <cp:revision/>
  <dcterms:created xsi:type="dcterms:W3CDTF">2025-09-25T15:36:51Z</dcterms:created>
  <dcterms:modified xsi:type="dcterms:W3CDTF">2026-06-28T16:16:08Z</dcterms:modified>
  <cp:category/>
  <cp:contentStatus/>
</cp:coreProperties>
</file>